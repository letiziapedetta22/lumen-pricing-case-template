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hannel_Economics" sheetId="3" state="visible" r:id="rId5"/>
    <sheet name="Segment_Fit" sheetId="4" state="visible" r:id="rId6"/>
    <sheet name="Payback" sheetId="5" state="visible" r:id="rId7"/>
    <sheet name="Scenarios" sheetId="6" state="visible" r:id="rId8"/>
    <sheet name="Volume_Estimate" sheetId="7" state="visible" r:id="rId9"/>
    <sheet name="Seasonality" sheetId="8" state="visible" r:id="rId10"/>
    <sheet name="Data_Qualit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cost_breakdown.csv — TOTAL COGS per unit, incl. €0.05 Germany import duty &amp; compliance allowance</t>
        </r>
      </text>
    </comment>
    <comment ref="B5" authorId="0">
      <text>
        <r>
          <rPr>
            <sz val="10"/>
            <rFont val="Arial"/>
            <family val="2"/>
          </rPr>
          <t xml:space="preserve">marketing_funnel_monthly.csv — total spend / total conversions over 18 months = €44.01. Brief headline: ≈€44</t>
        </r>
      </text>
    </comment>
    <comment ref="B6" authorId="0">
      <text>
        <r>
          <rPr>
            <sz val="10"/>
            <rFont val="Arial"/>
            <family val="2"/>
          </rPr>
          <t xml:space="preserve">Brief headline (Exhibit 7). Actual by channel is 2.7–2.9x</t>
        </r>
      </text>
    </comment>
    <comment ref="B7" authorId="0">
      <text>
        <r>
          <rPr>
            <sz val="10"/>
            <rFont val="Arial"/>
            <family val="2"/>
          </rPr>
          <t xml:space="preserve">marketing_funnel_monthly.csv — mean of ltv_estimate_eur across 72 rows</t>
        </r>
      </text>
    </comment>
    <comment ref="B8" authorId="0">
      <text>
        <r>
          <rPr>
            <sz val="10"/>
            <rFont val="Arial"/>
            <family val="2"/>
          </rPr>
          <t xml:space="preserve">cost_breakdown.csv KPI row — net price at avg retail €1.35</t>
        </r>
      </text>
    </comment>
    <comment ref="B9" authorId="0">
      <text>
        <r>
          <rPr>
            <sz val="10"/>
            <rFont val="Arial"/>
            <family val="2"/>
          </rPr>
          <t xml:space="preserve">Check: should reproduce the 30% in cost_breakdown.csv</t>
        </r>
      </text>
    </comment>
    <comment ref="B11" authorId="0">
      <text>
        <r>
          <rPr>
            <sz val="10"/>
            <rFont val="Arial"/>
            <family val="2"/>
          </rPr>
          <t xml:space="preserve">price_test_results.csv / brief Exhibit 11</t>
        </r>
      </text>
    </comment>
    <comment ref="B15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B16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B17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B22" authorId="0">
      <text>
        <r>
          <rPr>
            <sz val="10"/>
            <rFont val="Arial"/>
            <family val="2"/>
          </rPr>
          <t xml:space="preserve">customer_survey.csv — 420 respondents, share by segment</t>
        </r>
      </text>
    </comment>
    <comment ref="B23" authorId="0">
      <text>
        <r>
          <rPr>
            <sz val="10"/>
            <rFont val="Arial"/>
            <family val="2"/>
          </rPr>
          <t xml:space="preserve">customer_survey.csv — 420 respondents, share by segment</t>
        </r>
      </text>
    </comment>
    <comment ref="B24" authorId="0">
      <text>
        <r>
          <rPr>
            <sz val="10"/>
            <rFont val="Arial"/>
            <family val="2"/>
          </rPr>
          <t xml:space="preserve">customer_survey.csv — 420 respondents, share by segment</t>
        </r>
      </text>
    </comment>
    <comment ref="B25" authorId="0">
      <text>
        <r>
          <rPr>
            <sz val="10"/>
            <rFont val="Arial"/>
            <family val="2"/>
          </rPr>
          <t xml:space="preserve">customer_survey.csv — 420 respondents, share by segment</t>
        </r>
      </text>
    </comment>
    <comment ref="B28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B29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B30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B31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B35" authorId="0">
      <text>
        <r>
          <rPr>
            <sz val="10"/>
            <rFont val="Arial"/>
            <family val="2"/>
          </rPr>
          <t xml:space="preserve">market_context.csv — subcategory Plant-based / adaptogenic, 2026</t>
        </r>
      </text>
    </comment>
    <comment ref="B36" authorId="0">
      <text>
        <r>
          <rPr>
            <sz val="10"/>
            <rFont val="Arial"/>
            <family val="2"/>
          </rPr>
          <t xml:space="preserve">market_context.csv — subcategory Energy / focus, 2026</t>
        </r>
      </text>
    </comment>
    <comment ref="B37" authorId="0">
      <text>
        <r>
          <rPr>
            <sz val="10"/>
            <rFont val="Arial"/>
            <family val="2"/>
          </rPr>
          <t xml:space="preserve">market_context.csv — population_share_of_market (illustrative split used by the case)</t>
        </r>
      </text>
    </comment>
    <comment ref="B38" authorId="0">
      <text>
        <r>
          <rPr>
            <sz val="10"/>
            <rFont val="Arial"/>
            <family val="2"/>
          </rPr>
          <t xml:space="preserve">market_context.csv</t>
        </r>
      </text>
    </comment>
    <comment ref="B39" authorId="0">
      <text>
        <r>
          <rPr>
            <sz val="10"/>
            <rFont val="Arial"/>
            <family val="2"/>
          </rPr>
          <t xml:space="preserve">market_context.csv — vs 7% for Hamburg/Cologne/Frankfurt/Other</t>
        </r>
      </text>
    </comment>
    <comment ref="B43" authorId="0">
      <text>
        <r>
          <rPr>
            <sz val="10"/>
            <rFont val="Arial"/>
            <family val="2"/>
          </rPr>
          <t xml:space="preserve">historical_sales_weekly.csv (deduplicated) — 78-week units × 52/78</t>
        </r>
      </text>
    </comment>
    <comment ref="B44" authorId="0">
      <text>
        <r>
          <rPr>
            <sz val="10"/>
            <rFont val="Arial"/>
            <family val="2"/>
          </rPr>
          <t xml:space="preserve">historical_sales_weekly.csv (deduplicated) — 78-week units × 52/78</t>
        </r>
      </text>
    </comment>
    <comment ref="B45" authorId="0">
      <text>
        <r>
          <rPr>
            <sz val="10"/>
            <rFont val="Arial"/>
            <family val="2"/>
          </rPr>
          <t xml:space="preserve">historical_sales_weekly.csv (deduplicated) — 78-week units × 52/78</t>
        </r>
      </text>
    </comment>
    <comment ref="B49" authorId="0">
      <text>
        <r>
          <rPr>
            <sz val="10"/>
            <rFont val="Arial"/>
            <family val="2"/>
          </rPr>
          <t xml:space="preserve">ASSUMPTION — approx. city population, millions. Verify.</t>
        </r>
      </text>
    </comment>
    <comment ref="B50" authorId="0">
      <text>
        <r>
          <rPr>
            <sz val="10"/>
            <rFont val="Arial"/>
            <family val="2"/>
          </rPr>
          <t xml:space="preserve">ASSUMPTION — approx. city population, millions. Verify.</t>
        </r>
      </text>
    </comment>
    <comment ref="B51" authorId="0">
      <text>
        <r>
          <rPr>
            <sz val="10"/>
            <rFont val="Arial"/>
            <family val="2"/>
          </rPr>
          <t xml:space="preserve">ASSUMPTION — 1.0 = Germany behaves like home markets per capita. 0.8 = 20% haircut for lower brand awareness (LUMEN unknown in DE) and heavier discount retail structure. Sensitivity in Volume_Estimate.</t>
        </r>
      </text>
    </comment>
    <comment ref="B52" authorId="0">
      <text>
        <r>
          <rPr>
            <sz val="10"/>
            <rFont val="Arial"/>
            <family val="2"/>
          </rPr>
          <t xml:space="preserve">ASSUMPTION — first 12 months reach 60% of steady-state run-rate (spring launch, distribution build-up).</t>
        </r>
      </text>
    </comment>
    <comment ref="B53" authorId="0">
      <text>
        <r>
          <rPr>
            <sz val="10"/>
            <rFont val="Arial"/>
            <family val="2"/>
          </rPr>
          <t xml:space="preserve">marketing_funnel_monthly.csv — sum of spend_eur, all channels, Jan 2025–Jun 2026</t>
        </r>
      </text>
    </comment>
    <comment ref="B54" authorId="0">
      <text>
        <r>
          <rPr>
            <sz val="10"/>
            <rFont val="Arial"/>
            <family val="2"/>
          </rPr>
          <t xml:space="preserve">Derived: annualised home spend × (launch population ÷ home population) × comparability factor. Overwrite with a hard number if the team prefers.</t>
        </r>
      </text>
    </comment>
    <comment ref="C11" authorId="0">
      <text>
        <r>
          <rPr>
            <sz val="10"/>
            <rFont val="Arial"/>
            <family val="2"/>
          </rPr>
          <t xml:space="preserve">price_test_results.csv / brief Exhibit 11</t>
        </r>
      </text>
    </comment>
    <comment ref="C15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C16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C17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C22" authorId="0">
      <text>
        <r>
          <rPr>
            <sz val="10"/>
            <rFont val="Arial"/>
            <family val="2"/>
          </rPr>
          <t xml:space="preserve">customer_survey.csv — mean purchase_frequency_per_month</t>
        </r>
      </text>
    </comment>
    <comment ref="C23" authorId="0">
      <text>
        <r>
          <rPr>
            <sz val="10"/>
            <rFont val="Arial"/>
            <family val="2"/>
          </rPr>
          <t xml:space="preserve">customer_survey.csv — mean purchase_frequency_per_month</t>
        </r>
      </text>
    </comment>
    <comment ref="C24" authorId="0">
      <text>
        <r>
          <rPr>
            <sz val="10"/>
            <rFont val="Arial"/>
            <family val="2"/>
          </rPr>
          <t xml:space="preserve">customer_survey.csv — mean purchase_frequency_per_month</t>
        </r>
      </text>
    </comment>
    <comment ref="C25" authorId="0">
      <text>
        <r>
          <rPr>
            <sz val="10"/>
            <rFont val="Arial"/>
            <family val="2"/>
          </rPr>
          <t xml:space="preserve">customer_survey.csv — mean purchase_frequency_per_month</t>
        </r>
      </text>
    </comment>
    <comment ref="C28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C29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C30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C31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C43" authorId="0">
      <text>
        <r>
          <rPr>
            <sz val="10"/>
            <rFont val="Arial"/>
            <family val="2"/>
          </rPr>
          <t xml:space="preserve">ASSUMPTION — approximate 2025 population in millions (Eurostat order of magnitude). Verify before final submission.</t>
        </r>
      </text>
    </comment>
    <comment ref="C44" authorId="0">
      <text>
        <r>
          <rPr>
            <sz val="10"/>
            <rFont val="Arial"/>
            <family val="2"/>
          </rPr>
          <t xml:space="preserve">ASSUMPTION — approximate 2025 population in millions (Eurostat order of magnitude). Verify before final submission.</t>
        </r>
      </text>
    </comment>
    <comment ref="C45" authorId="0">
      <text>
        <r>
          <rPr>
            <sz val="10"/>
            <rFont val="Arial"/>
            <family val="2"/>
          </rPr>
          <t xml:space="preserve">ASSUMPTION — approximate 2025 population in millions (Eurostat order of magnitude). Verify before final submission.</t>
        </r>
      </text>
    </comment>
    <comment ref="D11" authorId="0">
      <text>
        <r>
          <rPr>
            <sz val="10"/>
            <rFont val="Arial"/>
            <family val="2"/>
          </rPr>
          <t xml:space="preserve">price_test_results.csv / brief Exhibit 11</t>
        </r>
      </text>
    </comment>
    <comment ref="D15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D16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D17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D22" authorId="0">
      <text>
        <r>
          <rPr>
            <sz val="10"/>
            <rFont val="Arial"/>
            <family val="2"/>
          </rPr>
          <t xml:space="preserve">customer_survey.csv — mean lumen_purchase_intent_1_10</t>
        </r>
      </text>
    </comment>
    <comment ref="D23" authorId="0">
      <text>
        <r>
          <rPr>
            <sz val="10"/>
            <rFont val="Arial"/>
            <family val="2"/>
          </rPr>
          <t xml:space="preserve">customer_survey.csv — mean lumen_purchase_intent_1_10</t>
        </r>
      </text>
    </comment>
    <comment ref="D24" authorId="0">
      <text>
        <r>
          <rPr>
            <sz val="10"/>
            <rFont val="Arial"/>
            <family val="2"/>
          </rPr>
          <t xml:space="preserve">customer_survey.csv — mean lumen_purchase_intent_1_10</t>
        </r>
      </text>
    </comment>
    <comment ref="D25" authorId="0">
      <text>
        <r>
          <rPr>
            <sz val="10"/>
            <rFont val="Arial"/>
            <family val="2"/>
          </rPr>
          <t xml:space="preserve">customer_survey.csv — mean lumen_purchase_intent_1_10</t>
        </r>
      </text>
    </comment>
    <comment ref="D28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D29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D30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D31" authorId="0">
      <text>
        <r>
          <rPr>
            <sz val="10"/>
            <rFont val="Arial"/>
            <family val="2"/>
          </rPr>
          <t xml:space="preserve">price_sensitivity_survey.csv — share of segment whose "expensive" threshold is ABOVE this price (price still feels reasonable). This definition reproduces the brief's 61.7/51.7/26.7% only approximately (77/52/25% blended).</t>
        </r>
      </text>
    </comment>
    <comment ref="E15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E16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E17" authorId="0">
      <text>
        <r>
          <rPr>
            <sz val="10"/>
            <rFont val="Arial"/>
            <family val="2"/>
          </rPr>
          <t xml:space="preserve">channel_economics.csv</t>
        </r>
      </text>
    </comment>
    <comment ref="E22" authorId="0">
      <text>
        <r>
          <rPr>
            <sz val="10"/>
            <rFont val="Arial"/>
            <family val="2"/>
          </rPr>
          <t xml:space="preserve">customer_survey.csv — preferred_channel share within segment</t>
        </r>
      </text>
    </comment>
    <comment ref="E23" authorId="0">
      <text>
        <r>
          <rPr>
            <sz val="10"/>
            <rFont val="Arial"/>
            <family val="2"/>
          </rPr>
          <t xml:space="preserve">customer_survey.csv — preferred_channel share within segment</t>
        </r>
      </text>
    </comment>
    <comment ref="E24" authorId="0">
      <text>
        <r>
          <rPr>
            <sz val="10"/>
            <rFont val="Arial"/>
            <family val="2"/>
          </rPr>
          <t xml:space="preserve">customer_survey.csv — preferred_channel share within segment</t>
        </r>
      </text>
    </comment>
    <comment ref="E25" authorId="0">
      <text>
        <r>
          <rPr>
            <sz val="10"/>
            <rFont val="Arial"/>
            <family val="2"/>
          </rPr>
          <t xml:space="preserve">customer_survey.csv — preferred_channel share within segment</t>
        </r>
      </text>
    </comment>
    <comment ref="F15" authorId="0">
      <text>
        <r>
          <rPr>
            <sz val="10"/>
            <rFont val="Arial"/>
            <family val="2"/>
          </rPr>
          <t xml:space="preserve">historical_sales_weekly.csv (deduplicated) — share of units NL/DK/SE, 78 weeks</t>
        </r>
      </text>
    </comment>
    <comment ref="F16" authorId="0">
      <text>
        <r>
          <rPr>
            <sz val="10"/>
            <rFont val="Arial"/>
            <family val="2"/>
          </rPr>
          <t xml:space="preserve">historical_sales_weekly.csv (deduplicated) — share of units NL/DK/SE, 78 weeks</t>
        </r>
      </text>
    </comment>
    <comment ref="F17" authorId="0">
      <text>
        <r>
          <rPr>
            <sz val="10"/>
            <rFont val="Arial"/>
            <family val="2"/>
          </rPr>
          <t xml:space="preserve">historical_sales_weekly.csv (deduplicated) — share of units NL/DK/SE, 78 weeks</t>
        </r>
      </text>
    </comment>
    <comment ref="F22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F23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F24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F25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G22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G23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G24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G25" authorId="0">
      <text>
        <r>
          <rPr>
            <sz val="10"/>
            <rFont val="Arial"/>
            <family val="2"/>
          </rPr>
          <t xml:space="preserve">customer_survey.csv</t>
        </r>
      </text>
    </comment>
    <comment ref="H22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H23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H24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H25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I22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I23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I24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I25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J22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J23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J24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  <comment ref="J25" authorId="0">
      <text>
        <r>
          <rPr>
            <sz val="10"/>
            <rFont val="Arial"/>
            <family val="2"/>
          </rPr>
          <t xml:space="preserve">price_sensitivity_survey.csv — share of segment whose "too expensive" threshold is ABOVE this price (hard ceiling)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5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6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7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8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9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10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11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  <comment ref="G12" authorId="0">
      <text>
        <r>
          <rPr>
            <sz val="10"/>
            <rFont val="Arial"/>
            <family val="2"/>
          </rPr>
          <t xml:space="preserve">price_test_results.csv — unit_contribution_eur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7" authorId="0">
      <text>
        <r>
          <rPr>
            <sz val="10"/>
            <rFont val="Arial"/>
            <family val="2"/>
          </rPr>
          <t xml:space="preserve">Brief: Elena (CFO) wants payback "not eighteen months from now". Treated as the ceiling.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5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6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7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8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9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10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11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12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13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14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B15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4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5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6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7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8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9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10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11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12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13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14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C15" authorId="0">
      <text>
        <r>
          <rPr>
            <sz val="10"/>
            <rFont val="Arial"/>
            <family val="2"/>
          </rPr>
          <t xml:space="preserve">seasonality_and_weather.csv</t>
        </r>
      </text>
    </comment>
    <comment ref="D4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5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6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7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8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9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10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11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12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13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14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  <comment ref="D15" authorId="0">
      <text>
        <r>
          <rPr>
            <sz val="10"/>
            <rFont val="Arial"/>
            <family val="2"/>
          </rPr>
          <t xml:space="preserve">Computed from historical_sales_weekly.csv (deduplicated): mean weekly units by calendar month, indexed to 100</t>
        </r>
      </text>
    </comment>
  </commentList>
</comments>
</file>

<file path=xl/sharedStrings.xml><?xml version="1.0" encoding="utf-8"?>
<sst xmlns="http://schemas.openxmlformats.org/spreadsheetml/2006/main" count="273" uniqueCount="207">
  <si>
    <t xml:space="preserve">LUMEN — Germany Market Entry: Price × Channel × Segment Model</t>
  </si>
  <si>
    <t xml:space="preserve">ATELIA × ESCP workshop, Berlin, 10–11 Sep 2026. Built from the 12 files in data/ of the case repo.</t>
  </si>
  <si>
    <t xml:space="preserve">HOW TO READ THIS WORKBOOK</t>
  </si>
  <si>
    <t xml:space="preserve">Blue text = hardcoded input (from the data room or an explicit assumption). Black = formula. Green = link to another sheet. Yellow fill = key assumption you may want to change.</t>
  </si>
  <si>
    <t xml:space="preserve">Every input carries a comment naming the source file. Assumptions not in the data room are flagged "ASSUMPTION" in the comment.</t>
  </si>
  <si>
    <t xml:space="preserve">SHEETS</t>
  </si>
  <si>
    <t xml:space="preserve">Inputs — unit costs, CAC, channel cost structure, segment data (survey), market sizing, home-market benchmarks, assumptions.</t>
  </si>
  <si>
    <t xml:space="preserve">Channel_Economics — for each of the 3 candidate prices × 3 channels: what LUMEN nets per can, unit contribution, margin %, cans needed to pay back one customer's CAC.</t>
  </si>
  <si>
    <t xml:space="preserve">Segment_Fit — Van Westendorp acceptance per segment at each price (two definitions: "hard ceiling" and "comfort"), plus the blended average that hides it.</t>
  </si>
  <si>
    <t xml:space="preserve">Payback — months to recover CAC for each price × channel × segment, using each segment's purchase frequency.</t>
  </si>
  <si>
    <t xml:space="preserve">Scenarios — Option A (premium, DTC + Gym first) vs Option B (volume, Retail at €1.79): side-by-side KPIs and the explicit "what you give up" lines.</t>
  </si>
  <si>
    <t xml:space="preserve">Volume_Estimate — Year-1 units and net revenue for a Berlin + Munich launch, transferred from home-market per-capita sales with an explicit comparability factor.</t>
  </si>
  <si>
    <t xml:space="preserve">Seasonality — German seasonality index vs. home-market monthly pattern (transferability check) and the launch-timing logic.</t>
  </si>
  <si>
    <t xml:space="preserve">Data_Quality — issues found in the data room and how they were handled.</t>
  </si>
  <si>
    <t xml:space="preserve">THE ONE-LINE THESIS</t>
  </si>
  <si>
    <t xml:space="preserve">The brief's "26.7% acceptance at €2.59" is a blended average. Split by segment, Wellness Professionals and Gym-goers accept €2.19 at ~100% and buy in DTC and Gym &amp; Office — the two channels where LUMEN nets the most per can. The price/channel trade-off is really a segment choice.</t>
  </si>
  <si>
    <t xml:space="preserve">INPUTS</t>
  </si>
  <si>
    <t xml:space="preserve">Unit economics</t>
  </si>
  <si>
    <t xml:space="preserve">COGS per 330ml can (€)</t>
  </si>
  <si>
    <t xml:space="preserve">Blended CAC (€)</t>
  </si>
  <si>
    <t xml:space="preserve">Target LTV:CAC</t>
  </si>
  <si>
    <t xml:space="preserve">Mean LTV estimate (€)</t>
  </si>
  <si>
    <t xml:space="preserve">Home-market blended net price (€)</t>
  </si>
  <si>
    <t xml:space="preserve">Home-market blended gross margin</t>
  </si>
  <si>
    <t xml:space="preserve">Candidate launch prices (€)</t>
  </si>
  <si>
    <t xml:space="preserve">Channel cost structure</t>
  </si>
  <si>
    <t xml:space="preserve">Channel</t>
  </si>
  <si>
    <t xml:space="preserve">Retailer margin</t>
  </si>
  <si>
    <t xml:space="preserve">Distributor cut</t>
  </si>
  <si>
    <t xml:space="preserve">Payment %</t>
  </si>
  <si>
    <t xml:space="preserve">Fulfilment €/can</t>
  </si>
  <si>
    <t xml:space="preserve">Home-market unit mix</t>
  </si>
  <si>
    <t xml:space="preserve">DTC Online</t>
  </si>
  <si>
    <t xml:space="preserve">Gym &amp; Office</t>
  </si>
  <si>
    <t xml:space="preserve">Retail/Grocery</t>
  </si>
  <si>
    <t xml:space="preserve">Net price formula: price × (1 − retailer − distributor − payment) − fulfilment. Reproduces channel_economics.csv to the cent.</t>
  </si>
  <si>
    <t xml:space="preserve">German customer segments (survey data)</t>
  </si>
  <si>
    <t xml:space="preserve">Segment</t>
  </si>
  <si>
    <t xml:space="preserve">Share of survey</t>
  </si>
  <si>
    <t xml:space="preserve">Purchases / month</t>
  </si>
  <si>
    <t xml:space="preserve">Intent (1–10)</t>
  </si>
  <si>
    <t xml:space="preserve">Prefers DTC</t>
  </si>
  <si>
    <t xml:space="preserve">Prefers Gym &amp; Office</t>
  </si>
  <si>
    <t xml:space="preserve">Prefers Retail</t>
  </si>
  <si>
    <t xml:space="preserve">Accept €1.79 (hard)</t>
  </si>
  <si>
    <t xml:space="preserve">Accept €2.19 (hard)</t>
  </si>
  <si>
    <t xml:space="preserve">Accept €2.59 (hard)</t>
  </si>
  <si>
    <t xml:space="preserve">Source / definition</t>
  </si>
  <si>
    <t xml:space="preserve">Urban Wellness Professionals</t>
  </si>
  <si>
    <t xml:space="preserve">Hard = price below "too expensive" threshold</t>
  </si>
  <si>
    <t xml:space="preserve">Fitness &amp; Gym-Goers</t>
  </si>
  <si>
    <t xml:space="preserve">On-the-go Commuters</t>
  </si>
  <si>
    <t xml:space="preserve">Students &amp; Budget-Conscious</t>
  </si>
  <si>
    <t xml:space="preserve">Comfort €1.79</t>
  </si>
  <si>
    <t xml:space="preserve">Comfort €2.19</t>
  </si>
  <si>
    <t xml:space="preserve">Comfort €2.59</t>
  </si>
  <si>
    <t xml:space="preserve">Comfort = price below the "expensive" threshold. Stricter than "hard". Both are shown because the gap between them IS the CMO/CFO debate.</t>
  </si>
  <si>
    <t xml:space="preserve">German market (Exhibit 1)</t>
  </si>
  <si>
    <t xml:space="preserve">Plant-based / adaptogenic sub-category 2026 (€)</t>
  </si>
  <si>
    <t xml:space="preserve">Energy / focus sub-category 2026 (€)</t>
  </si>
  <si>
    <t xml:space="preserve">Berlin share of market</t>
  </si>
  <si>
    <t xml:space="preserve">Munich share of market</t>
  </si>
  <si>
    <t xml:space="preserve">Berlin + Munich regional CAGR</t>
  </si>
  <si>
    <t xml:space="preserve">Home-market benchmarks (transfer base)</t>
  </si>
  <si>
    <t xml:space="preserve">Country</t>
  </si>
  <si>
    <t xml:space="preserve">Annualised units</t>
  </si>
  <si>
    <t xml:space="preserve">Population (m)</t>
  </si>
  <si>
    <t xml:space="preserve">Units / capita / yr</t>
  </si>
  <si>
    <t xml:space="preserve">Netherlands</t>
  </si>
  <si>
    <t xml:space="preserve">Denmark</t>
  </si>
  <si>
    <t xml:space="preserve">Sweden</t>
  </si>
  <si>
    <t xml:space="preserve">Weighted units / capita / yr</t>
  </si>
  <si>
    <t xml:space="preserve">Launch geography &amp; assumptions</t>
  </si>
  <si>
    <t xml:space="preserve">Berlin population (m)</t>
  </si>
  <si>
    <t xml:space="preserve">Munich population (m)</t>
  </si>
  <si>
    <t xml:space="preserve">Comparability factor DE vs NL/DK/SE</t>
  </si>
  <si>
    <t xml:space="preserve">Year-1 ramp factor</t>
  </si>
  <si>
    <t xml:space="preserve">Home-market marketing spend, 18 months (€)</t>
  </si>
  <si>
    <t xml:space="preserve">Year-1 marketing budget, Berlin + Munich (€)</t>
  </si>
  <si>
    <t xml:space="preserve">CHANNEL ECONOMICS — what LUMEN keeps per can</t>
  </si>
  <si>
    <t xml:space="preserve">Price (€)</t>
  </si>
  <si>
    <t xml:space="preserve">Net to LUMEN (€)</t>
  </si>
  <si>
    <t xml:space="preserve">Contribution (€)</t>
  </si>
  <si>
    <t xml:space="preserve">Margin %</t>
  </si>
  <si>
    <t xml:space="preserve">Cans to repay CAC</t>
  </si>
  <si>
    <t xml:space="preserve">Check vs price_test_results</t>
  </si>
  <si>
    <t xml:space="preserve">Δ (should be ~0)</t>
  </si>
  <si>
    <t xml:space="preserve">Reading: at €2.19, a can sold online or in a gym contributes ~€1.15; the same can in a supermarket contributes €0.63. Retail is not "safe" — it is the channel where the price cut is shared with two intermediaries.</t>
  </si>
  <si>
    <t xml:space="preserve">SEGMENT FIT — who actually accepts each price</t>
  </si>
  <si>
    <t xml:space="preserve">Share</t>
  </si>
  <si>
    <t xml:space="preserve">Hard €1.79</t>
  </si>
  <si>
    <t xml:space="preserve">Hard €2.19</t>
  </si>
  <si>
    <t xml:space="preserve">Hard €2.59</t>
  </si>
  <si>
    <t xml:space="preserve">Blended (survey mix)</t>
  </si>
  <si>
    <t xml:space="preserve">Premium segments only (Wellness + Gym)</t>
  </si>
  <si>
    <t xml:space="preserve">Share of survey lost at this price (hard)</t>
  </si>
  <si>
    <t xml:space="preserve">Reading: the blended "comfort" line reproduces the brief's headline (~77% / 52% / 25%). Row 9 shows the same prices for the two premium segments: €2.19 is comfortable for ~95% of them. The average hides the answer.</t>
  </si>
  <si>
    <t xml:space="preserve">CAC PAYBACK — months to recover €44 per customer</t>
  </si>
  <si>
    <t xml:space="preserve">Contribution / can (€)</t>
  </si>
  <si>
    <t xml:space="preserve">Cans to pay back</t>
  </si>
  <si>
    <t xml:space="preserve">Months</t>
  </si>
  <si>
    <t xml:space="preserve">Summary — months to payback, using the segment most likely to buy in that channel (Wellness for DTC, Gym-goers for Gym &amp; Office, Students for Retail)</t>
  </si>
  <si>
    <t xml:space="preserve">DTC (Wellness)</t>
  </si>
  <si>
    <t xml:space="preserve">Gym &amp; Office (Gym-goers)</t>
  </si>
  <si>
    <t xml:space="preserve">Retail (Students)</t>
  </si>
  <si>
    <t xml:space="preserve">CFO threshold (months)</t>
  </si>
  <si>
    <t xml:space="preserve">SCENARIOS — Option A vs Option B</t>
  </si>
  <si>
    <t xml:space="preserve">Lever / KPI</t>
  </si>
  <si>
    <t xml:space="preserve">A — Premium first</t>
  </si>
  <si>
    <t xml:space="preserve">B — Volume first</t>
  </si>
  <si>
    <t xml:space="preserve">How it is computed</t>
  </si>
  <si>
    <t xml:space="preserve">Launch price (€)</t>
  </si>
  <si>
    <t xml:space="preserve">Change to any of the three candidate prices (Inputs row 11)</t>
  </si>
  <si>
    <t xml:space="preserve">Price index (1=€1.79, 2=€2.19, 3=€2.59)</t>
  </si>
  <si>
    <t xml:space="preserve">Drives the lookups below</t>
  </si>
  <si>
    <t xml:space="preserve">DTC Online in launch mix? (1/0)</t>
  </si>
  <si>
    <t xml:space="preserve">Gym &amp; Office in launch mix? (1/0)</t>
  </si>
  <si>
    <t xml:space="preserve">Retail/Grocery in launch mix? (1/0)</t>
  </si>
  <si>
    <t xml:space="preserve">Contribution / can — DTC (€)</t>
  </si>
  <si>
    <t xml:space="preserve">Contribution / can — Gym &amp; Office (€)</t>
  </si>
  <si>
    <t xml:space="preserve">Contribution / can — Retail (€)</t>
  </si>
  <si>
    <t xml:space="preserve">Weighted contribution / can, selected channels (€)</t>
  </si>
  <si>
    <t xml:space="preserve">Weights = home-market unit mix of the selected channels (Inputs F15:F17)</t>
  </si>
  <si>
    <t xml:space="preserve">Cans to repay CAC (blended)</t>
  </si>
  <si>
    <t xml:space="preserve">Demand side</t>
  </si>
  <si>
    <t xml:space="preserve">Reachable share of survey (prefers a selected channel)</t>
  </si>
  <si>
    <t xml:space="preserve">Σ segment share × share preferring a selected channel</t>
  </si>
  <si>
    <t xml:space="preserve">Reachable AND accepts price (hard ceiling)</t>
  </si>
  <si>
    <t xml:space="preserve">Row 18 weighted by hard acceptance at chosen price</t>
  </si>
  <si>
    <t xml:space="preserve">Reachable AND price feels reasonable (comfort)</t>
  </si>
  <si>
    <t xml:space="preserve">Row 18 weighted by comfort acceptance at chosen price</t>
  </si>
  <si>
    <t xml:space="preserve">Weighted purchases / month of reached buyers</t>
  </si>
  <si>
    <t xml:space="preserve">CAC payback (months)</t>
  </si>
  <si>
    <t xml:space="preserve">Cans to repay CAC ÷ purchases per month</t>
  </si>
  <si>
    <t xml:space="preserve">Meets CFO ≤18-month test?</t>
  </si>
  <si>
    <t xml:space="preserve">What you give up (stated out loud)</t>
  </si>
  <si>
    <t xml:space="preserve">Share of survey NOT reachable through the launch channels</t>
  </si>
  <si>
    <t xml:space="preserve">1 − row 18</t>
  </si>
  <si>
    <t xml:space="preserve">Share of survey priced out (hard ceiling)</t>
  </si>
  <si>
    <t xml:space="preserve">1 − blended hard acceptance at chosen price</t>
  </si>
  <si>
    <t xml:space="preserve">Home-market volume share of channels left out</t>
  </si>
  <si>
    <t xml:space="preserve">Σ home-market unit mix of channels set to 0</t>
  </si>
  <si>
    <t xml:space="preserve">Margin / can given up vs. the other option (€)</t>
  </si>
  <si>
    <t xml:space="preserve">Positioning risk</t>
  </si>
  <si>
    <t xml:space="preserve">Priced in VoltFit's DTC subscription band (€2.19) — credible premium, but must taste the part ("wellness brands taste like medicine")</t>
  </si>
  <si>
    <t xml:space="preserve">Priced between Mate Libre (€1.4–1.8) and VoltFit (€2.1–2.7); in retail, moving up later is very hard once anchored next to PulsUp promos</t>
  </si>
  <si>
    <t xml:space="preserve">VOLUME ESTIMATE — Year 1, Berlin + Munich</t>
  </si>
  <si>
    <t xml:space="preserve">Method: home-market per-capita sales × launch-city population × comparability haircut × channel coverage × ramp. Every step is an explicit input on Inputs.</t>
  </si>
  <si>
    <t xml:space="preserve">Step</t>
  </si>
  <si>
    <t xml:space="preserve">Option A</t>
  </si>
  <si>
    <t xml:space="preserve">Option B</t>
  </si>
  <si>
    <t xml:space="preserve">Source</t>
  </si>
  <si>
    <t xml:space="preserve">Home-market units / capita / yr</t>
  </si>
  <si>
    <t xml:space="preserve">Inputs — deduplicated sales ÷ population</t>
  </si>
  <si>
    <t xml:space="preserve">Launch population (m)</t>
  </si>
  <si>
    <t xml:space="preserve">Berlin + Munich</t>
  </si>
  <si>
    <t xml:space="preserve">Steady-state units at home-market penetration</t>
  </si>
  <si>
    <t xml:space="preserve">Comparability factor</t>
  </si>
  <si>
    <t xml:space="preserve">ASSUMPTION — see Inputs B51</t>
  </si>
  <si>
    <t xml:space="preserve">Channel coverage (home-market mix of selected channels)</t>
  </si>
  <si>
    <t xml:space="preserve">Price acceptance adj. (hard, reached segments) vs €1.79 base</t>
  </si>
  <si>
    <t xml:space="preserve">Home markets sell at €1.35; a higher German price loses the priced-out share of reached segments</t>
  </si>
  <si>
    <t xml:space="preserve">Year-1 ramp</t>
  </si>
  <si>
    <t xml:space="preserve">Year-1 units</t>
  </si>
  <si>
    <t xml:space="preserve">Weighted net price to LUMEN (€)</t>
  </si>
  <si>
    <t xml:space="preserve">Year-1 net revenue to LUMEN (€)</t>
  </si>
  <si>
    <t xml:space="preserve">Year-1 contribution after COGS (€)</t>
  </si>
  <si>
    <t xml:space="preserve">Year-1 marketing budget (€)</t>
  </si>
  <si>
    <t xml:space="preserve">Year-1 contribution after marketing (€)</t>
  </si>
  <si>
    <t xml:space="preserve">Customers the budget can acquire at blended CAC</t>
  </si>
  <si>
    <t xml:space="preserve">Sensitivity — Year-1 units vs comparability factor (Option A / Option B)</t>
  </si>
  <si>
    <t xml:space="preserve">Option A units</t>
  </si>
  <si>
    <t xml:space="preserve">Option B units</t>
  </si>
  <si>
    <t xml:space="preserve">Caveat: this is a per-capita transfer, not a demand model. It says "if Germans in Berlin/Munich bought like the Dutch, Danes and Swedes, adjusted", nothing more. The brief asks for responsible estimation, not precision — keep the assumptions visible.</t>
  </si>
  <si>
    <t xml:space="preserve">SEASONALITY &amp; LAUNCH TIMING</t>
  </si>
  <si>
    <t xml:space="preserve">Month</t>
  </si>
  <si>
    <t xml:space="preserve">DE seasonality index</t>
  </si>
  <si>
    <t xml:space="preserve">Avg temp DE (°C)</t>
  </si>
  <si>
    <t xml:space="preserve">Home-market index (NL/DK/SE)</t>
  </si>
  <si>
    <t xml:space="preserve">Gap DE − home</t>
  </si>
  <si>
    <t xml:space="preserve">Correlation DE index vs home-market index</t>
  </si>
  <si>
    <t xml:space="preserve">Correlation DE index vs temperature</t>
  </si>
  <si>
    <t xml:space="preserve">Reading: the German seasonality curve and LUMEN's own home-market curve are nearly identical (correlation ~0.99) — the seasonality transfer is the one assumption in this case that IS supported by data. Launch in April–May: index rises from 98 to 138 by July, so distribution is in place before peak demand. Competitor promo activity (competitor_price_history.csv) is sparse and mostly winter (Feb) or summer (Jun–Jul), so a spring launch avoids both clusters.</t>
  </si>
  <si>
    <t xml:space="preserve">DATA QUALITY — issues found and how they were handled</t>
  </si>
  <si>
    <t xml:space="preserve">File</t>
  </si>
  <si>
    <t xml:space="preserve">Issue</t>
  </si>
  <si>
    <t xml:space="preserve">Handling</t>
  </si>
  <si>
    <t xml:space="preserve">historical_sales_weekly.csv</t>
  </si>
  <si>
    <t xml:space="preserve">4 exact duplicate rows: NL 2025-07-14, DK 2025-09-22, DK 2025-12-22, NL 2026-04-27 (706 rows → 702 unique).</t>
  </si>
  <si>
    <t xml:space="preserve">Dropped before any aggregation. All home-market figures in this model use the deduplicated file.</t>
  </si>
  <si>
    <t xml:space="preserve">README announces "an unusual spike week". The highest weeks (late July 2025, June 2026) are all summer and consistent with the seasonality index; no single week exceeds 3σ.</t>
  </si>
  <si>
    <t xml:space="preserve">Not treated as an anomaly. Stated explicitly rather than invented.</t>
  </si>
  <si>
    <t xml:space="preserve">LUMEN_Case_Brief.md vs data</t>
  </si>
  <si>
    <t xml:space="preserve">Brief says home markets generate "roughly €3.2M trailing revenue". The data room sums to €1.62M over 78 weeks (€1.08M annualised) at €1.35 retail booked as revenue.</t>
  </si>
  <si>
    <t xml:space="preserve">Flagged as an inconsistency. Model uses the data-room figure for per-capita transfer; the brief figure is not reproducible from the files.</t>
  </si>
  <si>
    <t xml:space="preserve">price_test_results.csv vs survey</t>
  </si>
  <si>
    <t xml:space="preserve">Headline acceptance (61.7/51.7/26.7%) is a blended figure. Recomputed from price_sensitivity_survey.csv it reproduces approximately (77/52/25% "comfort"), and splits very unevenly by segment.</t>
  </si>
  <si>
    <t xml:space="preserve">Both blended and per-segment acceptance shown (Segment_Fit). The segment split is the core finding.</t>
  </si>
  <si>
    <t xml:space="preserve">customer_survey.csv</t>
  </si>
  <si>
    <t xml:space="preserve">Contains first_name, last_name, email (synthetic).</t>
  </si>
  <si>
    <t xml:space="preserve">Columns never loaded into the model or the tool. Only segment, city, frequency, spend, sensitivity, channel preference, awareness, intent are used.</t>
  </si>
  <si>
    <t xml:space="preserve">market_context.csv</t>
  </si>
  <si>
    <t xml:space="preserve">Regional split is labelled "illustrative" in the notes column.</t>
  </si>
  <si>
    <t xml:space="preserve">Used for city prioritisation only; not treated as measured data.</t>
  </si>
  <si>
    <t xml:space="preserve">marketing_funnel_monthly.csv</t>
  </si>
  <si>
    <t xml:space="preserve">LTV:CAC by channel is 2.7–2.9x, below the 3:1 target stated in the brief.</t>
  </si>
  <si>
    <t xml:space="preserve">Reported as-is; the 3:1 target is treated as a plan assumption, not an observed fact.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</si>
</sst>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€#,##0.00;&quot;(€&quot;#,##0.00\);\-"/>
    <numFmt numFmtId="166" formatCode="0.0\x"/>
    <numFmt numFmtId="167" formatCode="0.0%;\(0.0%\);\-"/>
    <numFmt numFmtId="168" formatCode="#,##0.0;\(#,##0.0\);\-"/>
    <numFmt numFmtId="169" formatCode="\€#,##0;&quot;(€&quot;#,##0\);\-"/>
    <numFmt numFmtId="170" formatCode="#,##0;\(#,##0\);\-"/>
    <numFmt numFmtId="171" formatCode="0.0000"/>
    <numFmt numFmtId="172" formatCode="0.00"/>
    <numFmt numFmtId="173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14</v>
      </c>
    </row>
    <row r="19" customFormat="false" ht="35.0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4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5" t="s">
        <v>16</v>
      </c>
    </row>
    <row r="3" customFormat="false" ht="15" hidden="false" customHeight="false" outlineLevel="0" collapsed="false">
      <c r="A3" s="6" t="s">
        <v>17</v>
      </c>
    </row>
    <row r="4" customFormat="false" ht="15" hidden="false" customHeight="false" outlineLevel="0" collapsed="false">
      <c r="A4" s="7" t="s">
        <v>18</v>
      </c>
      <c r="B4" s="8" t="n">
        <v>0.62</v>
      </c>
    </row>
    <row r="5" customFormat="false" ht="15" hidden="false" customHeight="false" outlineLevel="0" collapsed="false">
      <c r="A5" s="7" t="s">
        <v>19</v>
      </c>
      <c r="B5" s="9" t="n">
        <v>44</v>
      </c>
    </row>
    <row r="6" customFormat="false" ht="15" hidden="false" customHeight="false" outlineLevel="0" collapsed="false">
      <c r="A6" s="7" t="s">
        <v>20</v>
      </c>
      <c r="B6" s="10" t="n">
        <v>3</v>
      </c>
    </row>
    <row r="7" customFormat="false" ht="15" hidden="false" customHeight="false" outlineLevel="0" collapsed="false">
      <c r="A7" s="7" t="s">
        <v>21</v>
      </c>
      <c r="B7" s="8" t="n">
        <v>122.1</v>
      </c>
    </row>
    <row r="8" customFormat="false" ht="15" hidden="false" customHeight="false" outlineLevel="0" collapsed="false">
      <c r="A8" s="7" t="s">
        <v>22</v>
      </c>
      <c r="B8" s="8" t="n">
        <v>0.886</v>
      </c>
    </row>
    <row r="9" customFormat="false" ht="15" hidden="false" customHeight="false" outlineLevel="0" collapsed="false">
      <c r="A9" s="7" t="s">
        <v>23</v>
      </c>
      <c r="B9" s="11" t="n">
        <f aca="false">(B8-B4)/B8</f>
        <v>0.300225733634312</v>
      </c>
    </row>
    <row r="11" customFormat="false" ht="15" hidden="false" customHeight="false" outlineLevel="0" collapsed="false">
      <c r="A11" s="6" t="s">
        <v>24</v>
      </c>
      <c r="B11" s="8" t="n">
        <v>1.79</v>
      </c>
      <c r="C11" s="8" t="n">
        <v>2.19</v>
      </c>
      <c r="D11" s="8" t="n">
        <v>2.59</v>
      </c>
    </row>
    <row r="13" customFormat="false" ht="15" hidden="false" customHeight="false" outlineLevel="0" collapsed="false">
      <c r="A13" s="6" t="s">
        <v>25</v>
      </c>
    </row>
    <row r="14" customFormat="false" ht="26.85" hidden="false" customHeight="false" outlineLevel="0" collapsed="false">
      <c r="A14" s="12" t="s">
        <v>26</v>
      </c>
      <c r="B14" s="12" t="s">
        <v>27</v>
      </c>
      <c r="C14" s="12" t="s">
        <v>28</v>
      </c>
      <c r="D14" s="12" t="s">
        <v>29</v>
      </c>
      <c r="E14" s="12" t="s">
        <v>30</v>
      </c>
      <c r="F14" s="12" t="s">
        <v>31</v>
      </c>
    </row>
    <row r="15" customFormat="false" ht="15" hidden="false" customHeight="false" outlineLevel="0" collapsed="false">
      <c r="A15" s="13" t="s">
        <v>32</v>
      </c>
      <c r="B15" s="14" t="n">
        <v>0</v>
      </c>
      <c r="C15" s="14" t="n">
        <v>0</v>
      </c>
      <c r="D15" s="14" t="n">
        <v>0.029</v>
      </c>
      <c r="E15" s="8" t="n">
        <v>0.35</v>
      </c>
      <c r="F15" s="14" t="n">
        <v>0.319</v>
      </c>
    </row>
    <row r="16" customFormat="false" ht="15" hidden="false" customHeight="false" outlineLevel="0" collapsed="false">
      <c r="A16" s="13" t="s">
        <v>33</v>
      </c>
      <c r="B16" s="14" t="n">
        <v>0.2</v>
      </c>
      <c r="C16" s="14" t="n">
        <v>0</v>
      </c>
      <c r="D16" s="14" t="n">
        <v>0</v>
      </c>
      <c r="E16" s="8" t="n">
        <v>0</v>
      </c>
      <c r="F16" s="14" t="n">
        <v>0.179</v>
      </c>
    </row>
    <row r="17" customFormat="false" ht="15" hidden="false" customHeight="false" outlineLevel="0" collapsed="false">
      <c r="A17" s="13" t="s">
        <v>34</v>
      </c>
      <c r="B17" s="14" t="n">
        <v>0.35</v>
      </c>
      <c r="C17" s="14" t="n">
        <v>0.08</v>
      </c>
      <c r="D17" s="14" t="n">
        <v>0</v>
      </c>
      <c r="E17" s="8" t="n">
        <v>0</v>
      </c>
      <c r="F17" s="14" t="n">
        <v>0.502</v>
      </c>
    </row>
    <row r="18" customFormat="false" ht="15" hidden="false" customHeight="false" outlineLevel="0" collapsed="false">
      <c r="A18" s="15" t="s">
        <v>35</v>
      </c>
    </row>
    <row r="20" customFormat="false" ht="15" hidden="false" customHeight="false" outlineLevel="0" collapsed="false">
      <c r="A20" s="6" t="s">
        <v>36</v>
      </c>
    </row>
    <row r="21" customFormat="false" ht="26.85" hidden="false" customHeight="false" outlineLevel="0" collapsed="false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2" t="s">
        <v>42</v>
      </c>
      <c r="G21" s="12" t="s">
        <v>43</v>
      </c>
      <c r="H21" s="12" t="s">
        <v>44</v>
      </c>
      <c r="I21" s="12" t="s">
        <v>45</v>
      </c>
      <c r="J21" s="12" t="s">
        <v>46</v>
      </c>
      <c r="K21" s="12" t="s">
        <v>47</v>
      </c>
    </row>
    <row r="22" customFormat="false" ht="15" hidden="false" customHeight="false" outlineLevel="0" collapsed="false">
      <c r="A22" s="13" t="s">
        <v>48</v>
      </c>
      <c r="B22" s="14" t="n">
        <v>0.267</v>
      </c>
      <c r="C22" s="16" t="n">
        <v>7.56</v>
      </c>
      <c r="D22" s="16" t="n">
        <v>9.12</v>
      </c>
      <c r="E22" s="14" t="n">
        <v>0.536</v>
      </c>
      <c r="F22" s="14" t="n">
        <v>0.143</v>
      </c>
      <c r="G22" s="14" t="n">
        <v>0.321</v>
      </c>
      <c r="H22" s="14" t="n">
        <v>1</v>
      </c>
      <c r="I22" s="14" t="n">
        <v>1</v>
      </c>
      <c r="J22" s="14" t="n">
        <v>1</v>
      </c>
      <c r="K22" s="17" t="s">
        <v>49</v>
      </c>
    </row>
    <row r="23" customFormat="false" ht="15" hidden="false" customHeight="false" outlineLevel="0" collapsed="false">
      <c r="A23" s="13" t="s">
        <v>50</v>
      </c>
      <c r="B23" s="14" t="n">
        <v>0.198</v>
      </c>
      <c r="C23" s="16" t="n">
        <v>6.23</v>
      </c>
      <c r="D23" s="16" t="n">
        <v>7.97</v>
      </c>
      <c r="E23" s="14" t="n">
        <v>0.169</v>
      </c>
      <c r="F23" s="14" t="n">
        <v>0.446</v>
      </c>
      <c r="G23" s="14" t="n">
        <v>0.386</v>
      </c>
      <c r="H23" s="14" t="n">
        <v>1</v>
      </c>
      <c r="I23" s="14" t="n">
        <v>1</v>
      </c>
      <c r="J23" s="14" t="n">
        <v>1</v>
      </c>
      <c r="K23" s="17" t="s">
        <v>49</v>
      </c>
    </row>
    <row r="24" customFormat="false" ht="15" hidden="false" customHeight="false" outlineLevel="0" collapsed="false">
      <c r="A24" s="13" t="s">
        <v>51</v>
      </c>
      <c r="B24" s="14" t="n">
        <v>0.214</v>
      </c>
      <c r="C24" s="16" t="n">
        <v>5.87</v>
      </c>
      <c r="D24" s="16" t="n">
        <v>6.71</v>
      </c>
      <c r="E24" s="14" t="n">
        <v>0.167</v>
      </c>
      <c r="F24" s="14" t="n">
        <v>0.233</v>
      </c>
      <c r="G24" s="14" t="n">
        <v>0.6</v>
      </c>
      <c r="H24" s="14" t="n">
        <v>1</v>
      </c>
      <c r="I24" s="14" t="n">
        <v>1</v>
      </c>
      <c r="J24" s="14" t="n">
        <v>0.719</v>
      </c>
      <c r="K24" s="17" t="s">
        <v>49</v>
      </c>
    </row>
    <row r="25" customFormat="false" ht="15" hidden="false" customHeight="false" outlineLevel="0" collapsed="false">
      <c r="A25" s="13" t="s">
        <v>52</v>
      </c>
      <c r="B25" s="14" t="n">
        <v>0.321</v>
      </c>
      <c r="C25" s="16" t="n">
        <v>5.1</v>
      </c>
      <c r="D25" s="16" t="n">
        <v>5.5</v>
      </c>
      <c r="E25" s="14" t="n">
        <v>0.222</v>
      </c>
      <c r="F25" s="14" t="n">
        <v>0.237</v>
      </c>
      <c r="G25" s="14" t="n">
        <v>0.541</v>
      </c>
      <c r="H25" s="14" t="n">
        <v>0.98</v>
      </c>
      <c r="I25" s="14" t="n">
        <v>0.525</v>
      </c>
      <c r="J25" s="14" t="n">
        <v>0.03</v>
      </c>
      <c r="K25" s="17" t="s">
        <v>49</v>
      </c>
    </row>
    <row r="27" customFormat="false" ht="26.85" hidden="false" customHeight="false" outlineLevel="0" collapsed="false">
      <c r="A27" s="12" t="s">
        <v>37</v>
      </c>
      <c r="B27" s="12" t="s">
        <v>53</v>
      </c>
      <c r="C27" s="12" t="s">
        <v>54</v>
      </c>
      <c r="D27" s="12" t="s">
        <v>55</v>
      </c>
    </row>
    <row r="28" customFormat="false" ht="15" hidden="false" customHeight="false" outlineLevel="0" collapsed="false">
      <c r="A28" s="13" t="s">
        <v>48</v>
      </c>
      <c r="B28" s="14" t="n">
        <v>1</v>
      </c>
      <c r="C28" s="14" t="n">
        <v>0.986</v>
      </c>
      <c r="D28" s="14" t="n">
        <v>0.757</v>
      </c>
    </row>
    <row r="29" customFormat="false" ht="15" hidden="false" customHeight="false" outlineLevel="0" collapsed="false">
      <c r="A29" s="13" t="s">
        <v>50</v>
      </c>
      <c r="B29" s="14" t="n">
        <v>1</v>
      </c>
      <c r="C29" s="14" t="n">
        <v>0.905</v>
      </c>
      <c r="D29" s="14" t="n">
        <v>0.317</v>
      </c>
    </row>
    <row r="30" customFormat="false" ht="15" hidden="false" customHeight="false" outlineLevel="0" collapsed="false">
      <c r="A30" s="13" t="s">
        <v>51</v>
      </c>
      <c r="B30" s="14" t="n">
        <v>0.891</v>
      </c>
      <c r="C30" s="14" t="n">
        <v>0.344</v>
      </c>
      <c r="D30" s="14" t="n">
        <v>0</v>
      </c>
    </row>
    <row r="31" customFormat="false" ht="15" hidden="false" customHeight="false" outlineLevel="0" collapsed="false">
      <c r="A31" s="13" t="s">
        <v>52</v>
      </c>
      <c r="B31" s="14" t="n">
        <v>0.374</v>
      </c>
      <c r="C31" s="14" t="n">
        <v>0.03</v>
      </c>
      <c r="D31" s="14" t="n">
        <v>0</v>
      </c>
    </row>
    <row r="32" customFormat="false" ht="15" hidden="false" customHeight="false" outlineLevel="0" collapsed="false">
      <c r="A32" s="17" t="s">
        <v>56</v>
      </c>
    </row>
    <row r="34" customFormat="false" ht="15" hidden="false" customHeight="false" outlineLevel="0" collapsed="false">
      <c r="A34" s="6" t="s">
        <v>57</v>
      </c>
    </row>
    <row r="35" customFormat="false" ht="15" hidden="false" customHeight="false" outlineLevel="0" collapsed="false">
      <c r="A35" s="7" t="s">
        <v>58</v>
      </c>
      <c r="B35" s="18" t="n">
        <v>2184000000</v>
      </c>
    </row>
    <row r="36" customFormat="false" ht="15" hidden="false" customHeight="false" outlineLevel="0" collapsed="false">
      <c r="A36" s="7" t="s">
        <v>59</v>
      </c>
      <c r="B36" s="18" t="n">
        <v>2548000000</v>
      </c>
    </row>
    <row r="37" customFormat="false" ht="15" hidden="false" customHeight="false" outlineLevel="0" collapsed="false">
      <c r="A37" s="7" t="s">
        <v>60</v>
      </c>
      <c r="B37" s="14" t="n">
        <v>0.18</v>
      </c>
    </row>
    <row r="38" customFormat="false" ht="15" hidden="false" customHeight="false" outlineLevel="0" collapsed="false">
      <c r="A38" s="7" t="s">
        <v>61</v>
      </c>
      <c r="B38" s="14" t="n">
        <v>0.15</v>
      </c>
    </row>
    <row r="39" customFormat="false" ht="15" hidden="false" customHeight="false" outlineLevel="0" collapsed="false">
      <c r="A39" s="7" t="s">
        <v>62</v>
      </c>
      <c r="B39" s="14" t="n">
        <v>0.09</v>
      </c>
    </row>
    <row r="41" customFormat="false" ht="15" hidden="false" customHeight="false" outlineLevel="0" collapsed="false">
      <c r="A41" s="6" t="s">
        <v>63</v>
      </c>
    </row>
    <row r="42" customFormat="false" ht="26.85" hidden="false" customHeight="false" outlineLevel="0" collapsed="false">
      <c r="A42" s="12" t="s">
        <v>64</v>
      </c>
      <c r="B42" s="12" t="s">
        <v>65</v>
      </c>
      <c r="C42" s="12" t="s">
        <v>66</v>
      </c>
      <c r="D42" s="12" t="s">
        <v>67</v>
      </c>
    </row>
    <row r="43" customFormat="false" ht="15" hidden="false" customHeight="false" outlineLevel="0" collapsed="false">
      <c r="A43" s="13" t="s">
        <v>68</v>
      </c>
      <c r="B43" s="19" t="n">
        <v>340424</v>
      </c>
      <c r="C43" s="20" t="n">
        <v>18</v>
      </c>
      <c r="D43" s="21" t="n">
        <f aca="false">B43/(C43*1000000)</f>
        <v>0.0189124444444444</v>
      </c>
    </row>
    <row r="44" customFormat="false" ht="15" hidden="false" customHeight="false" outlineLevel="0" collapsed="false">
      <c r="A44" s="13" t="s">
        <v>69</v>
      </c>
      <c r="B44" s="19" t="n">
        <v>203983</v>
      </c>
      <c r="C44" s="20" t="n">
        <v>6</v>
      </c>
      <c r="D44" s="21" t="n">
        <f aca="false">B44/(C44*1000000)</f>
        <v>0.0339971666666667</v>
      </c>
    </row>
    <row r="45" customFormat="false" ht="15" hidden="false" customHeight="false" outlineLevel="0" collapsed="false">
      <c r="A45" s="13" t="s">
        <v>70</v>
      </c>
      <c r="B45" s="19" t="n">
        <v>255488</v>
      </c>
      <c r="C45" s="20" t="n">
        <v>10.6</v>
      </c>
      <c r="D45" s="21" t="n">
        <f aca="false">B45/(C45*1000000)</f>
        <v>0.024102641509434</v>
      </c>
    </row>
    <row r="46" customFormat="false" ht="15" hidden="false" customHeight="false" outlineLevel="0" collapsed="false">
      <c r="A46" s="7" t="s">
        <v>71</v>
      </c>
      <c r="D46" s="21" t="n">
        <f aca="false">SUM(B43:B45)/(SUM(C43:C45)*1000000)</f>
        <v>0.0231183526011561</v>
      </c>
    </row>
    <row r="48" customFormat="false" ht="15" hidden="false" customHeight="false" outlineLevel="0" collapsed="false">
      <c r="A48" s="6" t="s">
        <v>72</v>
      </c>
    </row>
    <row r="49" customFormat="false" ht="15" hidden="false" customHeight="false" outlineLevel="0" collapsed="false">
      <c r="A49" s="7" t="s">
        <v>73</v>
      </c>
      <c r="B49" s="20" t="n">
        <v>3.8</v>
      </c>
    </row>
    <row r="50" customFormat="false" ht="15" hidden="false" customHeight="false" outlineLevel="0" collapsed="false">
      <c r="A50" s="7" t="s">
        <v>74</v>
      </c>
      <c r="B50" s="20" t="n">
        <v>1.6</v>
      </c>
    </row>
    <row r="51" customFormat="false" ht="15" hidden="false" customHeight="false" outlineLevel="0" collapsed="false">
      <c r="A51" s="7" t="s">
        <v>75</v>
      </c>
      <c r="B51" s="22" t="n">
        <v>0.8</v>
      </c>
    </row>
    <row r="52" customFormat="false" ht="15" hidden="false" customHeight="false" outlineLevel="0" collapsed="false">
      <c r="A52" s="7" t="s">
        <v>76</v>
      </c>
      <c r="B52" s="22" t="n">
        <v>0.6</v>
      </c>
    </row>
    <row r="53" customFormat="false" ht="15" hidden="false" customHeight="false" outlineLevel="0" collapsed="false">
      <c r="A53" s="7" t="s">
        <v>77</v>
      </c>
      <c r="B53" s="18" t="n">
        <v>1176890</v>
      </c>
    </row>
    <row r="54" customFormat="false" ht="15" hidden="false" customHeight="false" outlineLevel="0" collapsed="false">
      <c r="A54" s="7" t="s">
        <v>78</v>
      </c>
      <c r="B54" s="23" t="n">
        <f aca="false">B53/18*12*(B49+B50)/SUM(C43:C45)*B51</f>
        <v>97960.7861271677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5" t="s">
        <v>79</v>
      </c>
    </row>
    <row r="3" customFormat="false" ht="39.55" hidden="false" customHeight="false" outlineLevel="0" collapsed="false">
      <c r="A3" s="12" t="s">
        <v>80</v>
      </c>
      <c r="B3" s="12" t="s">
        <v>26</v>
      </c>
      <c r="C3" s="12" t="s">
        <v>81</v>
      </c>
      <c r="D3" s="12" t="s">
        <v>82</v>
      </c>
      <c r="E3" s="12" t="s">
        <v>83</v>
      </c>
      <c r="F3" s="12" t="s">
        <v>84</v>
      </c>
      <c r="G3" s="12" t="s">
        <v>85</v>
      </c>
      <c r="H3" s="12" t="s">
        <v>86</v>
      </c>
    </row>
    <row r="4" customFormat="false" ht="15" hidden="false" customHeight="false" outlineLevel="0" collapsed="false">
      <c r="A4" s="24" t="n">
        <f aca="false">Inputs!B11</f>
        <v>1.79</v>
      </c>
      <c r="B4" s="13" t="s">
        <v>32</v>
      </c>
      <c r="C4" s="25" t="n">
        <f aca="false">A4*(1-Inputs!B15-Inputs!C15-Inputs!D15)-Inputs!E15</f>
        <v>1.38809</v>
      </c>
      <c r="D4" s="25" t="n">
        <f aca="false">C4-Inputs!$B$4</f>
        <v>0.76809</v>
      </c>
      <c r="E4" s="11" t="n">
        <f aca="false">IF(C4=0,0,D4/C4)</f>
        <v>0.553343082941308</v>
      </c>
      <c r="F4" s="26" t="n">
        <f aca="false">IF(D4&lt;=0,0,Inputs!$B$5/D4)</f>
        <v>57.2849535861683</v>
      </c>
      <c r="G4" s="8" t="n">
        <v>0.77</v>
      </c>
      <c r="H4" s="25" t="n">
        <f aca="false">D4-G4</f>
        <v>-0.00190999999999997</v>
      </c>
    </row>
    <row r="5" customFormat="false" ht="15" hidden="false" customHeight="false" outlineLevel="0" collapsed="false">
      <c r="A5" s="24" t="n">
        <f aca="false">Inputs!B11</f>
        <v>1.79</v>
      </c>
      <c r="B5" s="13" t="s">
        <v>33</v>
      </c>
      <c r="C5" s="25" t="n">
        <f aca="false">A5*(1-Inputs!B16-Inputs!C16-Inputs!D16)-Inputs!E16</f>
        <v>1.432</v>
      </c>
      <c r="D5" s="25" t="n">
        <f aca="false">C5-Inputs!$B$4</f>
        <v>0.812</v>
      </c>
      <c r="E5" s="11" t="n">
        <f aca="false">IF(C5=0,0,D5/C5)</f>
        <v>0.567039106145251</v>
      </c>
      <c r="F5" s="26" t="n">
        <f aca="false">IF(D5&lt;=0,0,Inputs!$B$5/D5)</f>
        <v>54.1871921182266</v>
      </c>
      <c r="G5" s="8" t="n">
        <v>0.81</v>
      </c>
      <c r="H5" s="25" t="n">
        <f aca="false">D5-G5</f>
        <v>0.00200000000000011</v>
      </c>
    </row>
    <row r="6" customFormat="false" ht="15" hidden="false" customHeight="false" outlineLevel="0" collapsed="false">
      <c r="A6" s="24" t="n">
        <f aca="false">Inputs!B11</f>
        <v>1.79</v>
      </c>
      <c r="B6" s="13" t="s">
        <v>34</v>
      </c>
      <c r="C6" s="25" t="n">
        <f aca="false">A6*(1-Inputs!B17-Inputs!C17-Inputs!D17)-Inputs!E17</f>
        <v>1.0203</v>
      </c>
      <c r="D6" s="25" t="n">
        <f aca="false">C6-Inputs!$B$4</f>
        <v>0.4003</v>
      </c>
      <c r="E6" s="11" t="n">
        <f aca="false">IF(C6=0,0,D6/C6)</f>
        <v>0.392335587572283</v>
      </c>
      <c r="F6" s="26" t="n">
        <f aca="false">IF(D6&lt;=0,0,Inputs!$B$5/D6)</f>
        <v>109.917561828628</v>
      </c>
      <c r="G6" s="8" t="n">
        <v>0.4</v>
      </c>
      <c r="H6" s="25" t="n">
        <f aca="false">D6-G6</f>
        <v>0.000300000000000189</v>
      </c>
    </row>
    <row r="7" customFormat="false" ht="15" hidden="false" customHeight="false" outlineLevel="0" collapsed="false">
      <c r="A7" s="24" t="n">
        <f aca="false">Inputs!C11</f>
        <v>2.19</v>
      </c>
      <c r="B7" s="13" t="s">
        <v>32</v>
      </c>
      <c r="C7" s="25" t="n">
        <f aca="false">A7*(1-Inputs!B15-Inputs!C15-Inputs!D15)-Inputs!E15</f>
        <v>1.77649</v>
      </c>
      <c r="D7" s="25" t="n">
        <f aca="false">C7-Inputs!$B$4</f>
        <v>1.15649</v>
      </c>
      <c r="E7" s="11" t="n">
        <f aca="false">IF(C7=0,0,D7/C7)</f>
        <v>0.650997191090296</v>
      </c>
      <c r="F7" s="26" t="n">
        <f aca="false">IF(D7&lt;=0,0,Inputs!$B$5/D7)</f>
        <v>38.0461569058098</v>
      </c>
      <c r="G7" s="8" t="n">
        <v>1.16</v>
      </c>
      <c r="H7" s="25" t="n">
        <f aca="false">D7-G7</f>
        <v>-0.00351000000000012</v>
      </c>
    </row>
    <row r="8" customFormat="false" ht="15" hidden="false" customHeight="false" outlineLevel="0" collapsed="false">
      <c r="A8" s="24" t="n">
        <f aca="false">Inputs!C11</f>
        <v>2.19</v>
      </c>
      <c r="B8" s="13" t="s">
        <v>33</v>
      </c>
      <c r="C8" s="25" t="n">
        <f aca="false">A8*(1-Inputs!B16-Inputs!C16-Inputs!D16)-Inputs!E16</f>
        <v>1.752</v>
      </c>
      <c r="D8" s="25" t="n">
        <f aca="false">C8-Inputs!$B$4</f>
        <v>1.132</v>
      </c>
      <c r="E8" s="11" t="n">
        <f aca="false">IF(C8=0,0,D8/C8)</f>
        <v>0.646118721461187</v>
      </c>
      <c r="F8" s="26" t="n">
        <f aca="false">IF(D8&lt;=0,0,Inputs!$B$5/D8)</f>
        <v>38.86925795053</v>
      </c>
      <c r="G8" s="8" t="n">
        <v>1.13</v>
      </c>
      <c r="H8" s="25" t="n">
        <f aca="false">D8-G8</f>
        <v>0.00200000000000022</v>
      </c>
    </row>
    <row r="9" customFormat="false" ht="15" hidden="false" customHeight="false" outlineLevel="0" collapsed="false">
      <c r="A9" s="24" t="n">
        <f aca="false">Inputs!C11</f>
        <v>2.19</v>
      </c>
      <c r="B9" s="13" t="s">
        <v>34</v>
      </c>
      <c r="C9" s="25" t="n">
        <f aca="false">A9*(1-Inputs!B17-Inputs!C17-Inputs!D17)-Inputs!E17</f>
        <v>1.2483</v>
      </c>
      <c r="D9" s="25" t="n">
        <f aca="false">C9-Inputs!$B$4</f>
        <v>0.6283</v>
      </c>
      <c r="E9" s="11" t="n">
        <f aca="false">IF(C9=0,0,D9/C9)</f>
        <v>0.503324521349035</v>
      </c>
      <c r="F9" s="26" t="n">
        <f aca="false">IF(D9&lt;=0,0,Inputs!$B$5/D9)</f>
        <v>70.030240331052</v>
      </c>
      <c r="G9" s="8" t="n">
        <v>0.63</v>
      </c>
      <c r="H9" s="25" t="n">
        <f aca="false">D9-G9</f>
        <v>-0.00169999999999981</v>
      </c>
    </row>
    <row r="10" customFormat="false" ht="15" hidden="false" customHeight="false" outlineLevel="0" collapsed="false">
      <c r="A10" s="24" t="n">
        <f aca="false">Inputs!D11</f>
        <v>2.59</v>
      </c>
      <c r="B10" s="13" t="s">
        <v>32</v>
      </c>
      <c r="C10" s="25" t="n">
        <f aca="false">A10*(1-Inputs!B15-Inputs!C15-Inputs!D15)-Inputs!E15</f>
        <v>2.16489</v>
      </c>
      <c r="D10" s="25" t="n">
        <f aca="false">C10-Inputs!$B$4</f>
        <v>1.54489</v>
      </c>
      <c r="E10" s="11" t="n">
        <f aca="false">IF(C10=0,0,D10/C10)</f>
        <v>0.713611315124556</v>
      </c>
      <c r="F10" s="26" t="n">
        <f aca="false">IF(D10&lt;=0,0,Inputs!$B$5/D10)</f>
        <v>28.4809921742001</v>
      </c>
      <c r="G10" s="8" t="n">
        <v>1.54</v>
      </c>
      <c r="H10" s="25" t="n">
        <f aca="false">D10-G10</f>
        <v>0.00488999999999962</v>
      </c>
    </row>
    <row r="11" customFormat="false" ht="15" hidden="false" customHeight="false" outlineLevel="0" collapsed="false">
      <c r="A11" s="24" t="n">
        <f aca="false">Inputs!D11</f>
        <v>2.59</v>
      </c>
      <c r="B11" s="13" t="s">
        <v>33</v>
      </c>
      <c r="C11" s="25" t="n">
        <f aca="false">A11*(1-Inputs!B16-Inputs!C16-Inputs!D16)-Inputs!E16</f>
        <v>2.072</v>
      </c>
      <c r="D11" s="25" t="n">
        <f aca="false">C11-Inputs!$B$4</f>
        <v>1.452</v>
      </c>
      <c r="E11" s="11" t="n">
        <f aca="false">IF(C11=0,0,D11/C11)</f>
        <v>0.700772200772201</v>
      </c>
      <c r="F11" s="26" t="n">
        <f aca="false">IF(D11&lt;=0,0,Inputs!$B$5/D11)</f>
        <v>30.3030303030303</v>
      </c>
      <c r="G11" s="8" t="n">
        <v>1.45</v>
      </c>
      <c r="H11" s="25" t="n">
        <f aca="false">D11-G11</f>
        <v>0.002</v>
      </c>
    </row>
    <row r="12" customFormat="false" ht="15" hidden="false" customHeight="false" outlineLevel="0" collapsed="false">
      <c r="A12" s="24" t="n">
        <f aca="false">Inputs!D11</f>
        <v>2.59</v>
      </c>
      <c r="B12" s="13" t="s">
        <v>34</v>
      </c>
      <c r="C12" s="25" t="n">
        <f aca="false">A12*(1-Inputs!B17-Inputs!C17-Inputs!D17)-Inputs!E17</f>
        <v>1.4763</v>
      </c>
      <c r="D12" s="25" t="n">
        <f aca="false">C12-Inputs!$B$4</f>
        <v>0.8563</v>
      </c>
      <c r="E12" s="11" t="n">
        <f aca="false">IF(C12=0,0,D12/C12)</f>
        <v>0.580031158978527</v>
      </c>
      <c r="F12" s="26" t="n">
        <f aca="false">IF(D12&lt;=0,0,Inputs!$B$5/D12)</f>
        <v>51.3838607964498</v>
      </c>
      <c r="G12" s="8" t="n">
        <v>0.86</v>
      </c>
      <c r="H12" s="25" t="n">
        <f aca="false">D12-G12</f>
        <v>-0.00369999999999981</v>
      </c>
    </row>
    <row r="14" customFormat="false" ht="15" hidden="false" customHeight="false" outlineLevel="0" collapsed="false">
      <c r="A14" s="17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5" t="s">
        <v>88</v>
      </c>
    </row>
    <row r="3" customFormat="false" ht="26.85" hidden="false" customHeight="false" outlineLevel="0" collapsed="false">
      <c r="A3" s="12" t="s">
        <v>37</v>
      </c>
      <c r="B3" s="12" t="s">
        <v>89</v>
      </c>
      <c r="C3" s="12" t="s">
        <v>90</v>
      </c>
      <c r="D3" s="12" t="s">
        <v>91</v>
      </c>
      <c r="E3" s="12" t="s">
        <v>92</v>
      </c>
      <c r="F3" s="12" t="s">
        <v>53</v>
      </c>
      <c r="G3" s="12" t="s">
        <v>54</v>
      </c>
      <c r="H3" s="12" t="s">
        <v>55</v>
      </c>
    </row>
    <row r="4" customFormat="false" ht="15" hidden="false" customHeight="false" outlineLevel="0" collapsed="false">
      <c r="A4" s="27" t="str">
        <f aca="false">Inputs!A22</f>
        <v>Urban Wellness Professionals</v>
      </c>
      <c r="B4" s="28" t="n">
        <f aca="false">Inputs!B22</f>
        <v>0.267</v>
      </c>
      <c r="C4" s="28" t="n">
        <f aca="false">Inputs!H22</f>
        <v>1</v>
      </c>
      <c r="D4" s="28" t="n">
        <f aca="false">Inputs!I22</f>
        <v>1</v>
      </c>
      <c r="E4" s="28" t="n">
        <f aca="false">Inputs!J22</f>
        <v>1</v>
      </c>
      <c r="F4" s="28" t="n">
        <f aca="false">Inputs!B28</f>
        <v>1</v>
      </c>
      <c r="G4" s="28" t="n">
        <f aca="false">Inputs!C28</f>
        <v>0.986</v>
      </c>
      <c r="H4" s="28" t="n">
        <f aca="false">Inputs!D28</f>
        <v>0.757</v>
      </c>
    </row>
    <row r="5" customFormat="false" ht="15" hidden="false" customHeight="false" outlineLevel="0" collapsed="false">
      <c r="A5" s="27" t="str">
        <f aca="false">Inputs!A23</f>
        <v>Fitness &amp; Gym-Goers</v>
      </c>
      <c r="B5" s="28" t="n">
        <f aca="false">Inputs!B23</f>
        <v>0.198</v>
      </c>
      <c r="C5" s="28" t="n">
        <f aca="false">Inputs!H23</f>
        <v>1</v>
      </c>
      <c r="D5" s="28" t="n">
        <f aca="false">Inputs!I23</f>
        <v>1</v>
      </c>
      <c r="E5" s="28" t="n">
        <f aca="false">Inputs!J23</f>
        <v>1</v>
      </c>
      <c r="F5" s="28" t="n">
        <f aca="false">Inputs!B29</f>
        <v>1</v>
      </c>
      <c r="G5" s="28" t="n">
        <f aca="false">Inputs!C29</f>
        <v>0.905</v>
      </c>
      <c r="H5" s="28" t="n">
        <f aca="false">Inputs!D29</f>
        <v>0.317</v>
      </c>
    </row>
    <row r="6" customFormat="false" ht="15" hidden="false" customHeight="false" outlineLevel="0" collapsed="false">
      <c r="A6" s="27" t="str">
        <f aca="false">Inputs!A24</f>
        <v>On-the-go Commuters</v>
      </c>
      <c r="B6" s="28" t="n">
        <f aca="false">Inputs!B24</f>
        <v>0.214</v>
      </c>
      <c r="C6" s="28" t="n">
        <f aca="false">Inputs!H24</f>
        <v>1</v>
      </c>
      <c r="D6" s="28" t="n">
        <f aca="false">Inputs!I24</f>
        <v>1</v>
      </c>
      <c r="E6" s="28" t="n">
        <f aca="false">Inputs!J24</f>
        <v>0.719</v>
      </c>
      <c r="F6" s="28" t="n">
        <f aca="false">Inputs!B30</f>
        <v>0.891</v>
      </c>
      <c r="G6" s="28" t="n">
        <f aca="false">Inputs!C30</f>
        <v>0.344</v>
      </c>
      <c r="H6" s="28" t="n">
        <f aca="false">Inputs!D30</f>
        <v>0</v>
      </c>
    </row>
    <row r="7" customFormat="false" ht="15" hidden="false" customHeight="false" outlineLevel="0" collapsed="false">
      <c r="A7" s="27" t="str">
        <f aca="false">Inputs!A25</f>
        <v>Students &amp; Budget-Conscious</v>
      </c>
      <c r="B7" s="28" t="n">
        <f aca="false">Inputs!B25</f>
        <v>0.321</v>
      </c>
      <c r="C7" s="28" t="n">
        <f aca="false">Inputs!H25</f>
        <v>0.98</v>
      </c>
      <c r="D7" s="28" t="n">
        <f aca="false">Inputs!I25</f>
        <v>0.525</v>
      </c>
      <c r="E7" s="28" t="n">
        <f aca="false">Inputs!J25</f>
        <v>0.03</v>
      </c>
      <c r="F7" s="28" t="n">
        <f aca="false">Inputs!B31</f>
        <v>0.374</v>
      </c>
      <c r="G7" s="28" t="n">
        <f aca="false">Inputs!C31</f>
        <v>0.03</v>
      </c>
      <c r="H7" s="28" t="n">
        <f aca="false">Inputs!D31</f>
        <v>0</v>
      </c>
    </row>
    <row r="8" customFormat="false" ht="15" hidden="false" customHeight="false" outlineLevel="0" collapsed="false">
      <c r="A8" s="13" t="s">
        <v>93</v>
      </c>
      <c r="C8" s="11" t="n">
        <f aca="false">SUMPRODUCT($B$4:$B$7,C4:C7)</f>
        <v>0.99358</v>
      </c>
      <c r="D8" s="11" t="n">
        <f aca="false">SUMPRODUCT($B$4:$B$7,D4:D7)</f>
        <v>0.847525</v>
      </c>
      <c r="E8" s="11" t="n">
        <f aca="false">SUMPRODUCT($B$4:$B$7,E4:E7)</f>
        <v>0.628496</v>
      </c>
      <c r="F8" s="11" t="n">
        <f aca="false">SUMPRODUCT($B$4:$B$7,F4:F7)</f>
        <v>0.775728</v>
      </c>
      <c r="G8" s="11" t="n">
        <f aca="false">SUMPRODUCT($B$4:$B$7,G4:G7)</f>
        <v>0.525698</v>
      </c>
      <c r="H8" s="11" t="n">
        <f aca="false">SUMPRODUCT($B$4:$B$7,H4:H7)</f>
        <v>0.264885</v>
      </c>
    </row>
    <row r="9" customFormat="false" ht="15" hidden="false" customHeight="false" outlineLevel="0" collapsed="false">
      <c r="A9" s="13" t="s">
        <v>94</v>
      </c>
      <c r="C9" s="11" t="n">
        <f aca="false">SUMPRODUCT($B$4:$B$5,C4:C5)/SUM($B$4:$B$5)</f>
        <v>1</v>
      </c>
      <c r="D9" s="11" t="n">
        <f aca="false">SUMPRODUCT($B$4:$B$5,D4:D5)/SUM($B$4:$B$5)</f>
        <v>1</v>
      </c>
      <c r="E9" s="11" t="n">
        <f aca="false">SUMPRODUCT($B$4:$B$5,E4:E5)/SUM($B$4:$B$5)</f>
        <v>1</v>
      </c>
      <c r="F9" s="11" t="n">
        <f aca="false">SUMPRODUCT($B$4:$B$5,F4:F5)/SUM($B$4:$B$5)</f>
        <v>1</v>
      </c>
      <c r="G9" s="11" t="n">
        <f aca="false">SUMPRODUCT($B$4:$B$5,G4:G5)/SUM($B$4:$B$5)</f>
        <v>0.951509677419355</v>
      </c>
      <c r="H9" s="11" t="n">
        <f aca="false">SUMPRODUCT($B$4:$B$5,H4:H5)/SUM($B$4:$B$5)</f>
        <v>0.569645161290323</v>
      </c>
    </row>
    <row r="10" customFormat="false" ht="15" hidden="false" customHeight="false" outlineLevel="0" collapsed="false">
      <c r="A10" s="13" t="s">
        <v>95</v>
      </c>
      <c r="C10" s="11" t="n">
        <f aca="false">1-C8</f>
        <v>0.00641999999999998</v>
      </c>
      <c r="D10" s="11" t="n">
        <f aca="false">1-D8</f>
        <v>0.152475</v>
      </c>
      <c r="E10" s="11" t="n">
        <f aca="false">1-E8</f>
        <v>0.371504</v>
      </c>
    </row>
    <row r="12" customFormat="false" ht="64.15" hidden="false" customHeight="false" outlineLevel="0" collapsed="false">
      <c r="A12" s="2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5" t="s">
        <v>97</v>
      </c>
    </row>
    <row r="3" customFormat="false" ht="26.85" hidden="false" customHeight="false" outlineLevel="0" collapsed="false">
      <c r="A3" s="12" t="s">
        <v>80</v>
      </c>
      <c r="B3" s="12" t="s">
        <v>26</v>
      </c>
      <c r="C3" s="12" t="s">
        <v>37</v>
      </c>
      <c r="D3" s="12" t="s">
        <v>98</v>
      </c>
      <c r="E3" s="12" t="s">
        <v>39</v>
      </c>
      <c r="F3" s="12" t="s">
        <v>99</v>
      </c>
      <c r="G3" s="12" t="s">
        <v>100</v>
      </c>
    </row>
    <row r="4" customFormat="false" ht="15" hidden="false" customHeight="false" outlineLevel="0" collapsed="false">
      <c r="A4" s="24" t="n">
        <f aca="false">Channel_Economics!A4</f>
        <v>1.79</v>
      </c>
      <c r="B4" s="13" t="s">
        <v>32</v>
      </c>
      <c r="C4" s="27" t="str">
        <f aca="false">Inputs!A22</f>
        <v>Urban Wellness Professionals</v>
      </c>
      <c r="D4" s="24" t="n">
        <f aca="false">Channel_Economics!D4</f>
        <v>0.76809</v>
      </c>
      <c r="E4" s="30" t="n">
        <f aca="false">Inputs!C22</f>
        <v>7.56</v>
      </c>
      <c r="F4" s="26" t="n">
        <f aca="false">IF(D4&lt;=0,0,Inputs!$B$5/D4)</f>
        <v>57.2849535861683</v>
      </c>
      <c r="G4" s="26" t="n">
        <f aca="false">IF(E4=0,0,F4/E4)</f>
        <v>7.57737481298522</v>
      </c>
    </row>
    <row r="5" customFormat="false" ht="15" hidden="false" customHeight="false" outlineLevel="0" collapsed="false">
      <c r="A5" s="24" t="n">
        <f aca="false">Channel_Economics!A4</f>
        <v>1.79</v>
      </c>
      <c r="B5" s="13" t="s">
        <v>32</v>
      </c>
      <c r="C5" s="27" t="str">
        <f aca="false">Inputs!A23</f>
        <v>Fitness &amp; Gym-Goers</v>
      </c>
      <c r="D5" s="24" t="n">
        <f aca="false">Channel_Economics!D4</f>
        <v>0.76809</v>
      </c>
      <c r="E5" s="30" t="n">
        <f aca="false">Inputs!C23</f>
        <v>6.23</v>
      </c>
      <c r="F5" s="26" t="n">
        <f aca="false">IF(D5&lt;=0,0,Inputs!$B$5/D5)</f>
        <v>57.2849535861683</v>
      </c>
      <c r="G5" s="26" t="n">
        <f aca="false">IF(E5=0,0,F5/E5)</f>
        <v>9.1950166269933</v>
      </c>
    </row>
    <row r="6" customFormat="false" ht="15" hidden="false" customHeight="false" outlineLevel="0" collapsed="false">
      <c r="A6" s="24" t="n">
        <f aca="false">Channel_Economics!A4</f>
        <v>1.79</v>
      </c>
      <c r="B6" s="13" t="s">
        <v>32</v>
      </c>
      <c r="C6" s="27" t="str">
        <f aca="false">Inputs!A24</f>
        <v>On-the-go Commuters</v>
      </c>
      <c r="D6" s="24" t="n">
        <f aca="false">Channel_Economics!D4</f>
        <v>0.76809</v>
      </c>
      <c r="E6" s="30" t="n">
        <f aca="false">Inputs!C24</f>
        <v>5.87</v>
      </c>
      <c r="F6" s="26" t="n">
        <f aca="false">IF(D6&lt;=0,0,Inputs!$B$5/D6)</f>
        <v>57.2849535861683</v>
      </c>
      <c r="G6" s="26" t="n">
        <f aca="false">IF(E6=0,0,F6/E6)</f>
        <v>9.75893587498608</v>
      </c>
    </row>
    <row r="7" customFormat="false" ht="15" hidden="false" customHeight="false" outlineLevel="0" collapsed="false">
      <c r="A7" s="24" t="n">
        <f aca="false">Channel_Economics!A4</f>
        <v>1.79</v>
      </c>
      <c r="B7" s="13" t="s">
        <v>32</v>
      </c>
      <c r="C7" s="27" t="str">
        <f aca="false">Inputs!A25</f>
        <v>Students &amp; Budget-Conscious</v>
      </c>
      <c r="D7" s="24" t="n">
        <f aca="false">Channel_Economics!D4</f>
        <v>0.76809</v>
      </c>
      <c r="E7" s="30" t="n">
        <f aca="false">Inputs!C25</f>
        <v>5.1</v>
      </c>
      <c r="F7" s="26" t="n">
        <f aca="false">IF(D7&lt;=0,0,Inputs!$B$5/D7)</f>
        <v>57.2849535861683</v>
      </c>
      <c r="G7" s="26" t="n">
        <f aca="false">IF(E7=0,0,F7/E7)</f>
        <v>11.2323438404252</v>
      </c>
    </row>
    <row r="8" customFormat="false" ht="15" hidden="false" customHeight="false" outlineLevel="0" collapsed="false">
      <c r="A8" s="24" t="n">
        <f aca="false">Channel_Economics!A5</f>
        <v>1.79</v>
      </c>
      <c r="B8" s="13" t="s">
        <v>33</v>
      </c>
      <c r="C8" s="27" t="str">
        <f aca="false">Inputs!A22</f>
        <v>Urban Wellness Professionals</v>
      </c>
      <c r="D8" s="24" t="n">
        <f aca="false">Channel_Economics!D5</f>
        <v>0.812</v>
      </c>
      <c r="E8" s="30" t="n">
        <f aca="false">Inputs!C22</f>
        <v>7.56</v>
      </c>
      <c r="F8" s="26" t="n">
        <f aca="false">IF(D8&lt;=0,0,Inputs!$B$5/D8)</f>
        <v>54.1871921182266</v>
      </c>
      <c r="G8" s="26" t="n">
        <f aca="false">IF(E8=0,0,F8/E8)</f>
        <v>7.16761800505643</v>
      </c>
    </row>
    <row r="9" customFormat="false" ht="15" hidden="false" customHeight="false" outlineLevel="0" collapsed="false">
      <c r="A9" s="24" t="n">
        <f aca="false">Channel_Economics!A5</f>
        <v>1.79</v>
      </c>
      <c r="B9" s="13" t="s">
        <v>33</v>
      </c>
      <c r="C9" s="27" t="str">
        <f aca="false">Inputs!A23</f>
        <v>Fitness &amp; Gym-Goers</v>
      </c>
      <c r="D9" s="24" t="n">
        <f aca="false">Channel_Economics!D5</f>
        <v>0.812</v>
      </c>
      <c r="E9" s="30" t="n">
        <f aca="false">Inputs!C23</f>
        <v>6.23</v>
      </c>
      <c r="F9" s="26" t="n">
        <f aca="false">IF(D9&lt;=0,0,Inputs!$B$5/D9)</f>
        <v>54.1871921182266</v>
      </c>
      <c r="G9" s="26" t="n">
        <f aca="false">IF(E9=0,0,F9/E9)</f>
        <v>8.69778364658533</v>
      </c>
    </row>
    <row r="10" customFormat="false" ht="15" hidden="false" customHeight="false" outlineLevel="0" collapsed="false">
      <c r="A10" s="24" t="n">
        <f aca="false">Channel_Economics!A5</f>
        <v>1.79</v>
      </c>
      <c r="B10" s="13" t="s">
        <v>33</v>
      </c>
      <c r="C10" s="27" t="str">
        <f aca="false">Inputs!A24</f>
        <v>On-the-go Commuters</v>
      </c>
      <c r="D10" s="24" t="n">
        <f aca="false">Channel_Economics!D5</f>
        <v>0.812</v>
      </c>
      <c r="E10" s="30" t="n">
        <f aca="false">Inputs!C24</f>
        <v>5.87</v>
      </c>
      <c r="F10" s="26" t="n">
        <f aca="false">IF(D10&lt;=0,0,Inputs!$B$5/D10)</f>
        <v>54.1871921182266</v>
      </c>
      <c r="G10" s="26" t="n">
        <f aca="false">IF(E10=0,0,F10/E10)</f>
        <v>9.23120819731288</v>
      </c>
    </row>
    <row r="11" customFormat="false" ht="15" hidden="false" customHeight="false" outlineLevel="0" collapsed="false">
      <c r="A11" s="24" t="n">
        <f aca="false">Channel_Economics!A5</f>
        <v>1.79</v>
      </c>
      <c r="B11" s="13" t="s">
        <v>33</v>
      </c>
      <c r="C11" s="27" t="str">
        <f aca="false">Inputs!A25</f>
        <v>Students &amp; Budget-Conscious</v>
      </c>
      <c r="D11" s="24" t="n">
        <f aca="false">Channel_Economics!D5</f>
        <v>0.812</v>
      </c>
      <c r="E11" s="30" t="n">
        <f aca="false">Inputs!C25</f>
        <v>5.1</v>
      </c>
      <c r="F11" s="26" t="n">
        <f aca="false">IF(D11&lt;=0,0,Inputs!$B$5/D11)</f>
        <v>54.1871921182266</v>
      </c>
      <c r="G11" s="26" t="n">
        <f aca="false">IF(E11=0,0,F11/E11)</f>
        <v>10.6249396310248</v>
      </c>
    </row>
    <row r="12" customFormat="false" ht="15" hidden="false" customHeight="false" outlineLevel="0" collapsed="false">
      <c r="A12" s="24" t="n">
        <f aca="false">Channel_Economics!A6</f>
        <v>1.79</v>
      </c>
      <c r="B12" s="13" t="s">
        <v>34</v>
      </c>
      <c r="C12" s="27" t="str">
        <f aca="false">Inputs!A22</f>
        <v>Urban Wellness Professionals</v>
      </c>
      <c r="D12" s="24" t="n">
        <f aca="false">Channel_Economics!D6</f>
        <v>0.4003</v>
      </c>
      <c r="E12" s="30" t="n">
        <f aca="false">Inputs!C22</f>
        <v>7.56</v>
      </c>
      <c r="F12" s="26" t="n">
        <f aca="false">IF(D12&lt;=0,0,Inputs!$B$5/D12)</f>
        <v>109.917561828628</v>
      </c>
      <c r="G12" s="26" t="n">
        <f aca="false">IF(E12=0,0,F12/E12)</f>
        <v>14.5393600302419</v>
      </c>
    </row>
    <row r="13" customFormat="false" ht="15" hidden="false" customHeight="false" outlineLevel="0" collapsed="false">
      <c r="A13" s="24" t="n">
        <f aca="false">Channel_Economics!A6</f>
        <v>1.79</v>
      </c>
      <c r="B13" s="13" t="s">
        <v>34</v>
      </c>
      <c r="C13" s="27" t="str">
        <f aca="false">Inputs!A23</f>
        <v>Fitness &amp; Gym-Goers</v>
      </c>
      <c r="D13" s="24" t="n">
        <f aca="false">Channel_Economics!D6</f>
        <v>0.4003</v>
      </c>
      <c r="E13" s="30" t="n">
        <f aca="false">Inputs!C23</f>
        <v>6.23</v>
      </c>
      <c r="F13" s="26" t="n">
        <f aca="false">IF(D13&lt;=0,0,Inputs!$B$5/D13)</f>
        <v>109.917561828628</v>
      </c>
      <c r="G13" s="26" t="n">
        <f aca="false">IF(E13=0,0,F13/E13)</f>
        <v>17.6432683513047</v>
      </c>
    </row>
    <row r="14" customFormat="false" ht="15" hidden="false" customHeight="false" outlineLevel="0" collapsed="false">
      <c r="A14" s="24" t="n">
        <f aca="false">Channel_Economics!A6</f>
        <v>1.79</v>
      </c>
      <c r="B14" s="13" t="s">
        <v>34</v>
      </c>
      <c r="C14" s="27" t="str">
        <f aca="false">Inputs!A24</f>
        <v>On-the-go Commuters</v>
      </c>
      <c r="D14" s="24" t="n">
        <f aca="false">Channel_Economics!D6</f>
        <v>0.4003</v>
      </c>
      <c r="E14" s="30" t="n">
        <f aca="false">Inputs!C24</f>
        <v>5.87</v>
      </c>
      <c r="F14" s="26" t="n">
        <f aca="false">IF(D14&lt;=0,0,Inputs!$B$5/D14)</f>
        <v>109.917561828628</v>
      </c>
      <c r="G14" s="26" t="n">
        <f aca="false">IF(E14=0,0,F14/E14)</f>
        <v>18.7253086590508</v>
      </c>
    </row>
    <row r="15" customFormat="false" ht="15" hidden="false" customHeight="false" outlineLevel="0" collapsed="false">
      <c r="A15" s="24" t="n">
        <f aca="false">Channel_Economics!A6</f>
        <v>1.79</v>
      </c>
      <c r="B15" s="13" t="s">
        <v>34</v>
      </c>
      <c r="C15" s="27" t="str">
        <f aca="false">Inputs!A25</f>
        <v>Students &amp; Budget-Conscious</v>
      </c>
      <c r="D15" s="24" t="n">
        <f aca="false">Channel_Economics!D6</f>
        <v>0.4003</v>
      </c>
      <c r="E15" s="30" t="n">
        <f aca="false">Inputs!C25</f>
        <v>5.1</v>
      </c>
      <c r="F15" s="26" t="n">
        <f aca="false">IF(D15&lt;=0,0,Inputs!$B$5/D15)</f>
        <v>109.917561828628</v>
      </c>
      <c r="G15" s="26" t="n">
        <f aca="false">IF(E15=0,0,F15/E15)</f>
        <v>21.5524631036526</v>
      </c>
    </row>
    <row r="16" customFormat="false" ht="15" hidden="false" customHeight="false" outlineLevel="0" collapsed="false">
      <c r="A16" s="24" t="n">
        <f aca="false">Channel_Economics!A7</f>
        <v>2.19</v>
      </c>
      <c r="B16" s="13" t="s">
        <v>32</v>
      </c>
      <c r="C16" s="27" t="str">
        <f aca="false">Inputs!A22</f>
        <v>Urban Wellness Professionals</v>
      </c>
      <c r="D16" s="24" t="n">
        <f aca="false">Channel_Economics!D7</f>
        <v>1.15649</v>
      </c>
      <c r="E16" s="30" t="n">
        <f aca="false">Inputs!C22</f>
        <v>7.56</v>
      </c>
      <c r="F16" s="26" t="n">
        <f aca="false">IF(D16&lt;=0,0,Inputs!$B$5/D16)</f>
        <v>38.0461569058098</v>
      </c>
      <c r="G16" s="26" t="n">
        <f aca="false">IF(E16=0,0,F16/E16)</f>
        <v>5.03256043727643</v>
      </c>
    </row>
    <row r="17" customFormat="false" ht="15" hidden="false" customHeight="false" outlineLevel="0" collapsed="false">
      <c r="A17" s="24" t="n">
        <f aca="false">Channel_Economics!A7</f>
        <v>2.19</v>
      </c>
      <c r="B17" s="13" t="s">
        <v>32</v>
      </c>
      <c r="C17" s="27" t="str">
        <f aca="false">Inputs!A23</f>
        <v>Fitness &amp; Gym-Goers</v>
      </c>
      <c r="D17" s="24" t="n">
        <f aca="false">Channel_Economics!D7</f>
        <v>1.15649</v>
      </c>
      <c r="E17" s="30" t="n">
        <f aca="false">Inputs!C23</f>
        <v>6.23</v>
      </c>
      <c r="F17" s="26" t="n">
        <f aca="false">IF(D17&lt;=0,0,Inputs!$B$5/D17)</f>
        <v>38.0461569058098</v>
      </c>
      <c r="G17" s="26" t="n">
        <f aca="false">IF(E17=0,0,F17/E17)</f>
        <v>6.10692727220062</v>
      </c>
    </row>
    <row r="18" customFormat="false" ht="15" hidden="false" customHeight="false" outlineLevel="0" collapsed="false">
      <c r="A18" s="24" t="n">
        <f aca="false">Channel_Economics!A7</f>
        <v>2.19</v>
      </c>
      <c r="B18" s="13" t="s">
        <v>32</v>
      </c>
      <c r="C18" s="27" t="str">
        <f aca="false">Inputs!A24</f>
        <v>On-the-go Commuters</v>
      </c>
      <c r="D18" s="24" t="n">
        <f aca="false">Channel_Economics!D7</f>
        <v>1.15649</v>
      </c>
      <c r="E18" s="30" t="n">
        <f aca="false">Inputs!C24</f>
        <v>5.87</v>
      </c>
      <c r="F18" s="26" t="n">
        <f aca="false">IF(D18&lt;=0,0,Inputs!$B$5/D18)</f>
        <v>38.0461569058098</v>
      </c>
      <c r="G18" s="26" t="n">
        <f aca="false">IF(E18=0,0,F18/E18)</f>
        <v>6.48145773523166</v>
      </c>
    </row>
    <row r="19" customFormat="false" ht="15" hidden="false" customHeight="false" outlineLevel="0" collapsed="false">
      <c r="A19" s="24" t="n">
        <f aca="false">Channel_Economics!A7</f>
        <v>2.19</v>
      </c>
      <c r="B19" s="13" t="s">
        <v>32</v>
      </c>
      <c r="C19" s="27" t="str">
        <f aca="false">Inputs!A25</f>
        <v>Students &amp; Budget-Conscious</v>
      </c>
      <c r="D19" s="24" t="n">
        <f aca="false">Channel_Economics!D7</f>
        <v>1.15649</v>
      </c>
      <c r="E19" s="30" t="n">
        <f aca="false">Inputs!C25</f>
        <v>5.1</v>
      </c>
      <c r="F19" s="26" t="n">
        <f aca="false">IF(D19&lt;=0,0,Inputs!$B$5/D19)</f>
        <v>38.0461569058098</v>
      </c>
      <c r="G19" s="26" t="n">
        <f aca="false">IF(E19=0,0,F19/E19)</f>
        <v>7.46003076584507</v>
      </c>
    </row>
    <row r="20" customFormat="false" ht="15" hidden="false" customHeight="false" outlineLevel="0" collapsed="false">
      <c r="A20" s="24" t="n">
        <f aca="false">Channel_Economics!A8</f>
        <v>2.19</v>
      </c>
      <c r="B20" s="13" t="s">
        <v>33</v>
      </c>
      <c r="C20" s="27" t="str">
        <f aca="false">Inputs!A22</f>
        <v>Urban Wellness Professionals</v>
      </c>
      <c r="D20" s="24" t="n">
        <f aca="false">Channel_Economics!D8</f>
        <v>1.132</v>
      </c>
      <c r="E20" s="30" t="n">
        <f aca="false">Inputs!C22</f>
        <v>7.56</v>
      </c>
      <c r="F20" s="26" t="n">
        <f aca="false">IF(D20&lt;=0,0,Inputs!$B$5/D20)</f>
        <v>38.86925795053</v>
      </c>
      <c r="G20" s="26" t="n">
        <f aca="false">IF(E20=0,0,F20/E20)</f>
        <v>5.1414362368426</v>
      </c>
    </row>
    <row r="21" customFormat="false" ht="15" hidden="false" customHeight="false" outlineLevel="0" collapsed="false">
      <c r="A21" s="24" t="n">
        <f aca="false">Channel_Economics!A8</f>
        <v>2.19</v>
      </c>
      <c r="B21" s="13" t="s">
        <v>33</v>
      </c>
      <c r="C21" s="27" t="str">
        <f aca="false">Inputs!A23</f>
        <v>Fitness &amp; Gym-Goers</v>
      </c>
      <c r="D21" s="24" t="n">
        <f aca="false">Channel_Economics!D8</f>
        <v>1.132</v>
      </c>
      <c r="E21" s="30" t="n">
        <f aca="false">Inputs!C23</f>
        <v>6.23</v>
      </c>
      <c r="F21" s="26" t="n">
        <f aca="false">IF(D21&lt;=0,0,Inputs!$B$5/D21)</f>
        <v>38.86925795053</v>
      </c>
      <c r="G21" s="26" t="n">
        <f aca="false">IF(E21=0,0,F21/E21)</f>
        <v>6.23904621998877</v>
      </c>
    </row>
    <row r="22" customFormat="false" ht="15" hidden="false" customHeight="false" outlineLevel="0" collapsed="false">
      <c r="A22" s="24" t="n">
        <f aca="false">Channel_Economics!A8</f>
        <v>2.19</v>
      </c>
      <c r="B22" s="13" t="s">
        <v>33</v>
      </c>
      <c r="C22" s="27" t="str">
        <f aca="false">Inputs!A24</f>
        <v>On-the-go Commuters</v>
      </c>
      <c r="D22" s="24" t="n">
        <f aca="false">Channel_Economics!D8</f>
        <v>1.132</v>
      </c>
      <c r="E22" s="30" t="n">
        <f aca="false">Inputs!C24</f>
        <v>5.87</v>
      </c>
      <c r="F22" s="26" t="n">
        <f aca="false">IF(D22&lt;=0,0,Inputs!$B$5/D22)</f>
        <v>38.86925795053</v>
      </c>
      <c r="G22" s="26" t="n">
        <f aca="false">IF(E22=0,0,F22/E22)</f>
        <v>6.6216793782845</v>
      </c>
    </row>
    <row r="23" customFormat="false" ht="15" hidden="false" customHeight="false" outlineLevel="0" collapsed="false">
      <c r="A23" s="24" t="n">
        <f aca="false">Channel_Economics!A8</f>
        <v>2.19</v>
      </c>
      <c r="B23" s="13" t="s">
        <v>33</v>
      </c>
      <c r="C23" s="27" t="str">
        <f aca="false">Inputs!A25</f>
        <v>Students &amp; Budget-Conscious</v>
      </c>
      <c r="D23" s="24" t="n">
        <f aca="false">Channel_Economics!D8</f>
        <v>1.132</v>
      </c>
      <c r="E23" s="30" t="n">
        <f aca="false">Inputs!C25</f>
        <v>5.1</v>
      </c>
      <c r="F23" s="26" t="n">
        <f aca="false">IF(D23&lt;=0,0,Inputs!$B$5/D23)</f>
        <v>38.86925795053</v>
      </c>
      <c r="G23" s="26" t="n">
        <f aca="false">IF(E23=0,0,F23/E23)</f>
        <v>7.62142312755491</v>
      </c>
    </row>
    <row r="24" customFormat="false" ht="15" hidden="false" customHeight="false" outlineLevel="0" collapsed="false">
      <c r="A24" s="24" t="n">
        <f aca="false">Channel_Economics!A9</f>
        <v>2.19</v>
      </c>
      <c r="B24" s="13" t="s">
        <v>34</v>
      </c>
      <c r="C24" s="27" t="str">
        <f aca="false">Inputs!A22</f>
        <v>Urban Wellness Professionals</v>
      </c>
      <c r="D24" s="24" t="n">
        <f aca="false">Channel_Economics!D9</f>
        <v>0.6283</v>
      </c>
      <c r="E24" s="30" t="n">
        <f aca="false">Inputs!C22</f>
        <v>7.56</v>
      </c>
      <c r="F24" s="26" t="n">
        <f aca="false">IF(D24&lt;=0,0,Inputs!$B$5/D24)</f>
        <v>70.030240331052</v>
      </c>
      <c r="G24" s="26" t="n">
        <f aca="false">IF(E24=0,0,F24/E24)</f>
        <v>9.26325930304921</v>
      </c>
    </row>
    <row r="25" customFormat="false" ht="15" hidden="false" customHeight="false" outlineLevel="0" collapsed="false">
      <c r="A25" s="24" t="n">
        <f aca="false">Channel_Economics!A9</f>
        <v>2.19</v>
      </c>
      <c r="B25" s="13" t="s">
        <v>34</v>
      </c>
      <c r="C25" s="27" t="str">
        <f aca="false">Inputs!A23</f>
        <v>Fitness &amp; Gym-Goers</v>
      </c>
      <c r="D25" s="24" t="n">
        <f aca="false">Channel_Economics!D9</f>
        <v>0.6283</v>
      </c>
      <c r="E25" s="30" t="n">
        <f aca="false">Inputs!C23</f>
        <v>6.23</v>
      </c>
      <c r="F25" s="26" t="n">
        <f aca="false">IF(D25&lt;=0,0,Inputs!$B$5/D25)</f>
        <v>70.030240331052</v>
      </c>
      <c r="G25" s="26" t="n">
        <f aca="false">IF(E25=0,0,F25/E25)</f>
        <v>11.2408090419024</v>
      </c>
    </row>
    <row r="26" customFormat="false" ht="15" hidden="false" customHeight="false" outlineLevel="0" collapsed="false">
      <c r="A26" s="24" t="n">
        <f aca="false">Channel_Economics!A9</f>
        <v>2.19</v>
      </c>
      <c r="B26" s="13" t="s">
        <v>34</v>
      </c>
      <c r="C26" s="27" t="str">
        <f aca="false">Inputs!A24</f>
        <v>On-the-go Commuters</v>
      </c>
      <c r="D26" s="24" t="n">
        <f aca="false">Channel_Economics!D9</f>
        <v>0.6283</v>
      </c>
      <c r="E26" s="30" t="n">
        <f aca="false">Inputs!C24</f>
        <v>5.87</v>
      </c>
      <c r="F26" s="26" t="n">
        <f aca="false">IF(D26&lt;=0,0,Inputs!$B$5/D26)</f>
        <v>70.030240331052</v>
      </c>
      <c r="G26" s="26" t="n">
        <f aca="false">IF(E26=0,0,F26/E26)</f>
        <v>11.9301942642337</v>
      </c>
    </row>
    <row r="27" customFormat="false" ht="15" hidden="false" customHeight="false" outlineLevel="0" collapsed="false">
      <c r="A27" s="24" t="n">
        <f aca="false">Channel_Economics!A9</f>
        <v>2.19</v>
      </c>
      <c r="B27" s="13" t="s">
        <v>34</v>
      </c>
      <c r="C27" s="27" t="str">
        <f aca="false">Inputs!A25</f>
        <v>Students &amp; Budget-Conscious</v>
      </c>
      <c r="D27" s="24" t="n">
        <f aca="false">Channel_Economics!D9</f>
        <v>0.6283</v>
      </c>
      <c r="E27" s="30" t="n">
        <f aca="false">Inputs!C25</f>
        <v>5.1</v>
      </c>
      <c r="F27" s="26" t="n">
        <f aca="false">IF(D27&lt;=0,0,Inputs!$B$5/D27)</f>
        <v>70.030240331052</v>
      </c>
      <c r="G27" s="26" t="n">
        <f aca="false">IF(E27=0,0,F27/E27)</f>
        <v>13.7314196727553</v>
      </c>
    </row>
    <row r="28" customFormat="false" ht="15" hidden="false" customHeight="false" outlineLevel="0" collapsed="false">
      <c r="A28" s="24" t="n">
        <f aca="false">Channel_Economics!A10</f>
        <v>2.59</v>
      </c>
      <c r="B28" s="13" t="s">
        <v>32</v>
      </c>
      <c r="C28" s="27" t="str">
        <f aca="false">Inputs!A22</f>
        <v>Urban Wellness Professionals</v>
      </c>
      <c r="D28" s="24" t="n">
        <f aca="false">Channel_Economics!D10</f>
        <v>1.54489</v>
      </c>
      <c r="E28" s="30" t="n">
        <f aca="false">Inputs!C22</f>
        <v>7.56</v>
      </c>
      <c r="F28" s="26" t="n">
        <f aca="false">IF(D28&lt;=0,0,Inputs!$B$5/D28)</f>
        <v>28.4809921742001</v>
      </c>
      <c r="G28" s="26" t="n">
        <f aca="false">IF(E28=0,0,F28/E28)</f>
        <v>3.76732700716933</v>
      </c>
    </row>
    <row r="29" customFormat="false" ht="15" hidden="false" customHeight="false" outlineLevel="0" collapsed="false">
      <c r="A29" s="24" t="n">
        <f aca="false">Channel_Economics!A10</f>
        <v>2.59</v>
      </c>
      <c r="B29" s="13" t="s">
        <v>32</v>
      </c>
      <c r="C29" s="27" t="str">
        <f aca="false">Inputs!A23</f>
        <v>Fitness &amp; Gym-Goers</v>
      </c>
      <c r="D29" s="24" t="n">
        <f aca="false">Channel_Economics!D10</f>
        <v>1.54489</v>
      </c>
      <c r="E29" s="30" t="n">
        <f aca="false">Inputs!C23</f>
        <v>6.23</v>
      </c>
      <c r="F29" s="26" t="n">
        <f aca="false">IF(D29&lt;=0,0,Inputs!$B$5/D29)</f>
        <v>28.4809921742001</v>
      </c>
      <c r="G29" s="26" t="n">
        <f aca="false">IF(E29=0,0,F29/E29)</f>
        <v>4.57158782892458</v>
      </c>
    </row>
    <row r="30" customFormat="false" ht="15" hidden="false" customHeight="false" outlineLevel="0" collapsed="false">
      <c r="A30" s="24" t="n">
        <f aca="false">Channel_Economics!A10</f>
        <v>2.59</v>
      </c>
      <c r="B30" s="13" t="s">
        <v>32</v>
      </c>
      <c r="C30" s="27" t="str">
        <f aca="false">Inputs!A24</f>
        <v>On-the-go Commuters</v>
      </c>
      <c r="D30" s="24" t="n">
        <f aca="false">Channel_Economics!D10</f>
        <v>1.54489</v>
      </c>
      <c r="E30" s="30" t="n">
        <f aca="false">Inputs!C24</f>
        <v>5.87</v>
      </c>
      <c r="F30" s="26" t="n">
        <f aca="false">IF(D30&lt;=0,0,Inputs!$B$5/D30)</f>
        <v>28.4809921742001</v>
      </c>
      <c r="G30" s="26" t="n">
        <f aca="false">IF(E30=0,0,F30/E30)</f>
        <v>4.85195778095402</v>
      </c>
    </row>
    <row r="31" customFormat="false" ht="15" hidden="false" customHeight="false" outlineLevel="0" collapsed="false">
      <c r="A31" s="24" t="n">
        <f aca="false">Channel_Economics!A10</f>
        <v>2.59</v>
      </c>
      <c r="B31" s="13" t="s">
        <v>32</v>
      </c>
      <c r="C31" s="27" t="str">
        <f aca="false">Inputs!A25</f>
        <v>Students &amp; Budget-Conscious</v>
      </c>
      <c r="D31" s="24" t="n">
        <f aca="false">Channel_Economics!D10</f>
        <v>1.54489</v>
      </c>
      <c r="E31" s="30" t="n">
        <f aca="false">Inputs!C25</f>
        <v>5.1</v>
      </c>
      <c r="F31" s="26" t="n">
        <f aca="false">IF(D31&lt;=0,0,Inputs!$B$5/D31)</f>
        <v>28.4809921742001</v>
      </c>
      <c r="G31" s="26" t="n">
        <f aca="false">IF(E31=0,0,F31/E31)</f>
        <v>5.584508269451</v>
      </c>
    </row>
    <row r="32" customFormat="false" ht="15" hidden="false" customHeight="false" outlineLevel="0" collapsed="false">
      <c r="A32" s="24" t="n">
        <f aca="false">Channel_Economics!A11</f>
        <v>2.59</v>
      </c>
      <c r="B32" s="13" t="s">
        <v>33</v>
      </c>
      <c r="C32" s="27" t="str">
        <f aca="false">Inputs!A22</f>
        <v>Urban Wellness Professionals</v>
      </c>
      <c r="D32" s="24" t="n">
        <f aca="false">Channel_Economics!D11</f>
        <v>1.452</v>
      </c>
      <c r="E32" s="30" t="n">
        <f aca="false">Inputs!C22</f>
        <v>7.56</v>
      </c>
      <c r="F32" s="26" t="n">
        <f aca="false">IF(D32&lt;=0,0,Inputs!$B$5/D32)</f>
        <v>30.3030303030303</v>
      </c>
      <c r="G32" s="26" t="n">
        <f aca="false">IF(E32=0,0,F32/E32)</f>
        <v>4.00833734167068</v>
      </c>
    </row>
    <row r="33" customFormat="false" ht="15" hidden="false" customHeight="false" outlineLevel="0" collapsed="false">
      <c r="A33" s="24" t="n">
        <f aca="false">Channel_Economics!A11</f>
        <v>2.59</v>
      </c>
      <c r="B33" s="13" t="s">
        <v>33</v>
      </c>
      <c r="C33" s="27" t="str">
        <f aca="false">Inputs!A23</f>
        <v>Fitness &amp; Gym-Goers</v>
      </c>
      <c r="D33" s="24" t="n">
        <f aca="false">Channel_Economics!D11</f>
        <v>1.452</v>
      </c>
      <c r="E33" s="30" t="n">
        <f aca="false">Inputs!C23</f>
        <v>6.23</v>
      </c>
      <c r="F33" s="26" t="n">
        <f aca="false">IF(D33&lt;=0,0,Inputs!$B$5/D33)</f>
        <v>30.3030303030303</v>
      </c>
      <c r="G33" s="26" t="n">
        <f aca="false">IF(E33=0,0,F33/E33)</f>
        <v>4.86404980787003</v>
      </c>
    </row>
    <row r="34" customFormat="false" ht="15" hidden="false" customHeight="false" outlineLevel="0" collapsed="false">
      <c r="A34" s="24" t="n">
        <f aca="false">Channel_Economics!A11</f>
        <v>2.59</v>
      </c>
      <c r="B34" s="13" t="s">
        <v>33</v>
      </c>
      <c r="C34" s="27" t="str">
        <f aca="false">Inputs!A24</f>
        <v>On-the-go Commuters</v>
      </c>
      <c r="D34" s="24" t="n">
        <f aca="false">Channel_Economics!D11</f>
        <v>1.452</v>
      </c>
      <c r="E34" s="30" t="n">
        <f aca="false">Inputs!C24</f>
        <v>5.87</v>
      </c>
      <c r="F34" s="26" t="n">
        <f aca="false">IF(D34&lt;=0,0,Inputs!$B$5/D34)</f>
        <v>30.3030303030303</v>
      </c>
      <c r="G34" s="26" t="n">
        <f aca="false">IF(E34=0,0,F34/E34)</f>
        <v>5.16235609932373</v>
      </c>
    </row>
    <row r="35" customFormat="false" ht="15" hidden="false" customHeight="false" outlineLevel="0" collapsed="false">
      <c r="A35" s="24" t="n">
        <f aca="false">Channel_Economics!A11</f>
        <v>2.59</v>
      </c>
      <c r="B35" s="13" t="s">
        <v>33</v>
      </c>
      <c r="C35" s="27" t="str">
        <f aca="false">Inputs!A25</f>
        <v>Students &amp; Budget-Conscious</v>
      </c>
      <c r="D35" s="24" t="n">
        <f aca="false">Channel_Economics!D11</f>
        <v>1.452</v>
      </c>
      <c r="E35" s="30" t="n">
        <f aca="false">Inputs!C25</f>
        <v>5.1</v>
      </c>
      <c r="F35" s="26" t="n">
        <f aca="false">IF(D35&lt;=0,0,Inputs!$B$5/D35)</f>
        <v>30.3030303030303</v>
      </c>
      <c r="G35" s="26" t="n">
        <f aca="false">IF(E35=0,0,F35/E35)</f>
        <v>5.941770647653</v>
      </c>
    </row>
    <row r="36" customFormat="false" ht="15" hidden="false" customHeight="false" outlineLevel="0" collapsed="false">
      <c r="A36" s="24" t="n">
        <f aca="false">Channel_Economics!A12</f>
        <v>2.59</v>
      </c>
      <c r="B36" s="13" t="s">
        <v>34</v>
      </c>
      <c r="C36" s="27" t="str">
        <f aca="false">Inputs!A22</f>
        <v>Urban Wellness Professionals</v>
      </c>
      <c r="D36" s="24" t="n">
        <f aca="false">Channel_Economics!D12</f>
        <v>0.8563</v>
      </c>
      <c r="E36" s="30" t="n">
        <f aca="false">Inputs!C22</f>
        <v>7.56</v>
      </c>
      <c r="F36" s="26" t="n">
        <f aca="false">IF(D36&lt;=0,0,Inputs!$B$5/D36)</f>
        <v>51.3838607964498</v>
      </c>
      <c r="G36" s="26" t="n">
        <f aca="false">IF(E36=0,0,F36/E36)</f>
        <v>6.79680698365739</v>
      </c>
    </row>
    <row r="37" customFormat="false" ht="15" hidden="false" customHeight="false" outlineLevel="0" collapsed="false">
      <c r="A37" s="24" t="n">
        <f aca="false">Channel_Economics!A12</f>
        <v>2.59</v>
      </c>
      <c r="B37" s="13" t="s">
        <v>34</v>
      </c>
      <c r="C37" s="27" t="str">
        <f aca="false">Inputs!A23</f>
        <v>Fitness &amp; Gym-Goers</v>
      </c>
      <c r="D37" s="24" t="n">
        <f aca="false">Channel_Economics!D12</f>
        <v>0.8563</v>
      </c>
      <c r="E37" s="30" t="n">
        <f aca="false">Inputs!C23</f>
        <v>6.23</v>
      </c>
      <c r="F37" s="26" t="n">
        <f aca="false">IF(D37&lt;=0,0,Inputs!$B$5/D37)</f>
        <v>51.3838607964498</v>
      </c>
      <c r="G37" s="26" t="n">
        <f aca="false">IF(E37=0,0,F37/E37)</f>
        <v>8.24781072174155</v>
      </c>
    </row>
    <row r="38" customFormat="false" ht="15" hidden="false" customHeight="false" outlineLevel="0" collapsed="false">
      <c r="A38" s="24" t="n">
        <f aca="false">Channel_Economics!A12</f>
        <v>2.59</v>
      </c>
      <c r="B38" s="13" t="s">
        <v>34</v>
      </c>
      <c r="C38" s="27" t="str">
        <f aca="false">Inputs!A24</f>
        <v>On-the-go Commuters</v>
      </c>
      <c r="D38" s="24" t="n">
        <f aca="false">Channel_Economics!D12</f>
        <v>0.8563</v>
      </c>
      <c r="E38" s="30" t="n">
        <f aca="false">Inputs!C24</f>
        <v>5.87</v>
      </c>
      <c r="F38" s="26" t="n">
        <f aca="false">IF(D38&lt;=0,0,Inputs!$B$5/D38)</f>
        <v>51.3838607964498</v>
      </c>
      <c r="G38" s="26" t="n">
        <f aca="false">IF(E38=0,0,F38/E38)</f>
        <v>8.75363897724869</v>
      </c>
    </row>
    <row r="39" customFormat="false" ht="15" hidden="false" customHeight="false" outlineLevel="0" collapsed="false">
      <c r="A39" s="24" t="n">
        <f aca="false">Channel_Economics!A12</f>
        <v>2.59</v>
      </c>
      <c r="B39" s="13" t="s">
        <v>34</v>
      </c>
      <c r="C39" s="27" t="str">
        <f aca="false">Inputs!A25</f>
        <v>Students &amp; Budget-Conscious</v>
      </c>
      <c r="D39" s="24" t="n">
        <f aca="false">Channel_Economics!D12</f>
        <v>0.8563</v>
      </c>
      <c r="E39" s="30" t="n">
        <f aca="false">Inputs!C25</f>
        <v>5.1</v>
      </c>
      <c r="F39" s="26" t="n">
        <f aca="false">IF(D39&lt;=0,0,Inputs!$B$5/D39)</f>
        <v>51.3838607964498</v>
      </c>
      <c r="G39" s="26" t="n">
        <f aca="false">IF(E39=0,0,F39/E39)</f>
        <v>10.0752668228333</v>
      </c>
    </row>
    <row r="41" customFormat="false" ht="15" hidden="false" customHeight="false" outlineLevel="0" collapsed="false">
      <c r="A41" s="6" t="s">
        <v>101</v>
      </c>
    </row>
    <row r="42" customFormat="false" ht="26.85" hidden="false" customHeight="false" outlineLevel="0" collapsed="false">
      <c r="A42" s="12" t="s">
        <v>80</v>
      </c>
      <c r="B42" s="12" t="s">
        <v>102</v>
      </c>
      <c r="C42" s="12" t="s">
        <v>103</v>
      </c>
      <c r="D42" s="12" t="s">
        <v>104</v>
      </c>
    </row>
    <row r="43" customFormat="false" ht="15" hidden="false" customHeight="false" outlineLevel="0" collapsed="false">
      <c r="A43" s="24" t="n">
        <f aca="false">Inputs!B11</f>
        <v>1.79</v>
      </c>
      <c r="B43" s="26" t="n">
        <f aca="false">G4</f>
        <v>7.57737481298522</v>
      </c>
      <c r="C43" s="26" t="n">
        <f aca="false">G9</f>
        <v>8.69778364658533</v>
      </c>
      <c r="D43" s="26" t="n">
        <f aca="false">G15</f>
        <v>21.5524631036526</v>
      </c>
    </row>
    <row r="44" customFormat="false" ht="15" hidden="false" customHeight="false" outlineLevel="0" collapsed="false">
      <c r="A44" s="24" t="n">
        <f aca="false">Inputs!C11</f>
        <v>2.19</v>
      </c>
      <c r="B44" s="26" t="n">
        <f aca="false">G16</f>
        <v>5.03256043727643</v>
      </c>
      <c r="C44" s="26" t="n">
        <f aca="false">G21</f>
        <v>6.23904621998877</v>
      </c>
      <c r="D44" s="26" t="n">
        <f aca="false">G27</f>
        <v>13.7314196727553</v>
      </c>
    </row>
    <row r="45" customFormat="false" ht="15" hidden="false" customHeight="false" outlineLevel="0" collapsed="false">
      <c r="A45" s="24" t="n">
        <f aca="false">Inputs!D11</f>
        <v>2.59</v>
      </c>
      <c r="B45" s="26" t="n">
        <f aca="false">G28</f>
        <v>3.76732700716933</v>
      </c>
      <c r="C45" s="26" t="n">
        <f aca="false">G33</f>
        <v>4.86404980787003</v>
      </c>
      <c r="D45" s="26" t="n">
        <f aca="false">G39</f>
        <v>10.0752668228333</v>
      </c>
    </row>
    <row r="47" customFormat="false" ht="15" hidden="false" customHeight="false" outlineLevel="0" collapsed="false">
      <c r="A47" s="13" t="s">
        <v>105</v>
      </c>
      <c r="B47" s="31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106</v>
      </c>
    </row>
    <row r="3" customFormat="false" ht="26.85" hidden="false" customHeight="false" outlineLevel="0" collapsed="false">
      <c r="A3" s="12" t="s">
        <v>107</v>
      </c>
      <c r="B3" s="12" t="s">
        <v>108</v>
      </c>
      <c r="C3" s="12" t="s">
        <v>109</v>
      </c>
      <c r="D3" s="12" t="s">
        <v>110</v>
      </c>
    </row>
    <row r="4" customFormat="false" ht="15" hidden="false" customHeight="false" outlineLevel="0" collapsed="false">
      <c r="A4" s="13" t="s">
        <v>111</v>
      </c>
      <c r="B4" s="24" t="n">
        <f aca="false">Inputs!C11</f>
        <v>2.19</v>
      </c>
      <c r="C4" s="24" t="n">
        <f aca="false">Inputs!B11</f>
        <v>1.79</v>
      </c>
      <c r="D4" s="32" t="s">
        <v>112</v>
      </c>
    </row>
    <row r="5" customFormat="false" ht="15" hidden="false" customHeight="false" outlineLevel="0" collapsed="false">
      <c r="A5" s="13" t="s">
        <v>113</v>
      </c>
      <c r="B5" s="31" t="n">
        <v>2</v>
      </c>
      <c r="C5" s="31" t="n">
        <v>1</v>
      </c>
      <c r="D5" s="32" t="s">
        <v>114</v>
      </c>
    </row>
    <row r="6" customFormat="false" ht="15" hidden="false" customHeight="false" outlineLevel="0" collapsed="false">
      <c r="A6" s="13" t="s">
        <v>115</v>
      </c>
      <c r="B6" s="31" t="n">
        <v>1</v>
      </c>
      <c r="C6" s="31" t="n">
        <v>1</v>
      </c>
    </row>
    <row r="7" customFormat="false" ht="15" hidden="false" customHeight="false" outlineLevel="0" collapsed="false">
      <c r="A7" s="13" t="s">
        <v>116</v>
      </c>
      <c r="B7" s="31" t="n">
        <v>1</v>
      </c>
      <c r="C7" s="31" t="n">
        <v>0</v>
      </c>
    </row>
    <row r="8" customFormat="false" ht="15" hidden="false" customHeight="false" outlineLevel="0" collapsed="false">
      <c r="A8" s="13" t="s">
        <v>117</v>
      </c>
      <c r="B8" s="31" t="n">
        <v>0</v>
      </c>
      <c r="C8" s="31" t="n">
        <v>1</v>
      </c>
    </row>
    <row r="10" customFormat="false" ht="15" hidden="false" customHeight="false" outlineLevel="0" collapsed="false">
      <c r="A10" s="6" t="s">
        <v>17</v>
      </c>
    </row>
    <row r="11" customFormat="false" ht="15" hidden="false" customHeight="false" outlineLevel="0" collapsed="false">
      <c r="A11" s="7" t="s">
        <v>118</v>
      </c>
      <c r="B11" s="25" t="n">
        <f aca="false">INDEX(Channel_Economics!$D$4:$D$12,(B5-1)*3+1)</f>
        <v>1.15649</v>
      </c>
      <c r="C11" s="25" t="n">
        <f aca="false">INDEX(Channel_Economics!$D$4:$D$12,(C5-1)*3+1)</f>
        <v>0.76809</v>
      </c>
    </row>
    <row r="12" customFormat="false" ht="15" hidden="false" customHeight="false" outlineLevel="0" collapsed="false">
      <c r="A12" s="7" t="s">
        <v>119</v>
      </c>
      <c r="B12" s="25" t="n">
        <f aca="false">INDEX(Channel_Economics!$D$4:$D$12,(B5-1)*3+2)</f>
        <v>1.132</v>
      </c>
      <c r="C12" s="25" t="n">
        <f aca="false">INDEX(Channel_Economics!$D$4:$D$12,(C5-1)*3+2)</f>
        <v>0.812</v>
      </c>
    </row>
    <row r="13" customFormat="false" ht="15" hidden="false" customHeight="false" outlineLevel="0" collapsed="false">
      <c r="A13" s="7" t="s">
        <v>120</v>
      </c>
      <c r="B13" s="25" t="n">
        <f aca="false">INDEX(Channel_Economics!$D$4:$D$12,(B5-1)*3+3)</f>
        <v>0.6283</v>
      </c>
      <c r="C13" s="25" t="n">
        <f aca="false">INDEX(Channel_Economics!$D$4:$D$12,(C5-1)*3+3)</f>
        <v>0.4003</v>
      </c>
    </row>
    <row r="14" customFormat="false" ht="15" hidden="false" customHeight="false" outlineLevel="0" collapsed="false">
      <c r="A14" s="13" t="s">
        <v>121</v>
      </c>
      <c r="B14" s="25" t="n">
        <f aca="false">IF(SUMPRODUCT(B6:B8,Inputs!$F$15:$F$17)=0,0,SUMPRODUCT(B6:B8,Inputs!$F$15:$F$17,B11:B13)/SUMPRODUCT(B6:B8,Inputs!$F$15:$F$17))</f>
        <v>1.14768736947791</v>
      </c>
      <c r="C14" s="25" t="n">
        <f aca="false">IF(SUMPRODUCT(C6:C8,Inputs!$F$15:$F$17)=0,0,SUMPRODUCT(C6:C8,Inputs!$F$15:$F$17,C11:C13)/SUMPRODUCT(C6:C8,Inputs!$F$15:$F$17))</f>
        <v>0.543205006090134</v>
      </c>
      <c r="D14" s="32" t="s">
        <v>122</v>
      </c>
    </row>
    <row r="15" customFormat="false" ht="15" hidden="false" customHeight="false" outlineLevel="0" collapsed="false">
      <c r="A15" s="13" t="s">
        <v>123</v>
      </c>
      <c r="B15" s="26" t="n">
        <f aca="false">IF(B14&lt;=0,0,Inputs!$B$5/B14)</f>
        <v>38.3379665666407</v>
      </c>
      <c r="C15" s="26" t="n">
        <f aca="false">IF(C14&lt;=0,0,Inputs!$B$5/C14)</f>
        <v>81.0007262574805</v>
      </c>
    </row>
    <row r="17" customFormat="false" ht="15" hidden="false" customHeight="false" outlineLevel="0" collapsed="false">
      <c r="A17" s="6" t="s">
        <v>124</v>
      </c>
    </row>
    <row r="18" customFormat="false" ht="15" hidden="false" customHeight="false" outlineLevel="0" collapsed="false">
      <c r="A18" s="13" t="s">
        <v>125</v>
      </c>
      <c r="B18" s="11" t="n">
        <f aca="false">SUMPRODUCT(Inputs!$B$22:$B$25,(Inputs!$E$22:$E$25*B$6+Inputs!$F$22:$F$25*B$7+Inputs!$G$22:$G$25*B$8))</f>
        <v>0.536002</v>
      </c>
      <c r="C18" s="11" t="n">
        <f aca="false">SUMPRODUCT(Inputs!$B$22:$B$25,(Inputs!$E$22:$E$25*C$6+Inputs!$F$22:$F$25*C$7+Inputs!$G$22:$G$25*C$8))</f>
        <v>0.74777</v>
      </c>
      <c r="D18" s="32" t="s">
        <v>126</v>
      </c>
    </row>
    <row r="19" customFormat="false" ht="15" hidden="false" customHeight="false" outlineLevel="0" collapsed="false">
      <c r="A19" s="13" t="s">
        <v>127</v>
      </c>
      <c r="B19" s="11" t="n">
        <f aca="false">SUMPRODUCT(Inputs!$B$22:$B$25,(Inputs!$E$22:$E$25*B$6+Inputs!$F$22:$F$25*B$7+Inputs!$G$22:$G$25*B$8),INDEX(Inputs!$H$22:$J$25,0,B5))</f>
        <v>0.466015975</v>
      </c>
      <c r="C19" s="11" t="n">
        <f aca="false">SUMPRODUCT(Inputs!$B$22:$B$25,(Inputs!$E$22:$E$25*C$6+Inputs!$F$22:$F$25*C$7+Inputs!$G$22:$G$25*C$8),INDEX(Inputs!$H$22:$J$25,0,C5))</f>
        <v>0.74287154</v>
      </c>
      <c r="D19" s="32" t="s">
        <v>128</v>
      </c>
    </row>
    <row r="20" customFormat="false" ht="15" hidden="false" customHeight="false" outlineLevel="0" collapsed="false">
      <c r="A20" s="13" t="s">
        <v>129</v>
      </c>
      <c r="B20" s="11" t="n">
        <f aca="false">SUMPRODUCT(Inputs!$B$22:$B$25,(Inputs!$E$22:$E$25*B$6+Inputs!$F$22:$F$25*B$7+Inputs!$G$22:$G$25*B$8),INDEX(Inputs!$B$28:$D$31,0,B5))</f>
        <v>0.322823318</v>
      </c>
      <c r="C20" s="11" t="n">
        <f aca="false">SUMPRODUCT(Inputs!$B$22:$B$25,(Inputs!$E$22:$E$25*C$6+Inputs!$F$22:$F$25*C$7+Inputs!$G$22:$G$25*C$8),INDEX(Inputs!$B$28:$D$31,0,C5))</f>
        <v>0.57655716</v>
      </c>
      <c r="D20" s="32" t="s">
        <v>130</v>
      </c>
    </row>
    <row r="21" customFormat="false" ht="15" hidden="false" customHeight="false" outlineLevel="0" collapsed="false">
      <c r="A21" s="13" t="s">
        <v>131</v>
      </c>
      <c r="B21" s="26" t="n">
        <f aca="false">IF(B19=0,0,SUMPRODUCT(Inputs!$B$22:$B$25,(Inputs!$E$22:$E$25*B$6+Inputs!$F$22:$F$25*B$7+Inputs!$G$22:$G$25*B$8),INDEX(Inputs!$H$22:$J$25,0,B5),Inputs!$C$22:$C$25)/B19)</f>
        <v>6.49371376700123</v>
      </c>
      <c r="C21" s="26" t="n">
        <f aca="false">IF(C19=0,0,SUMPRODUCT(Inputs!$B$22:$B$25,(Inputs!$E$22:$E$25*C$6+Inputs!$F$22:$F$25*C$7+Inputs!$G$22:$G$25*C$8),INDEX(Inputs!$H$22:$J$25,0,C5),Inputs!$C$22:$C$25)/C19)</f>
        <v>6.19501664311975</v>
      </c>
    </row>
    <row r="22" customFormat="false" ht="15" hidden="false" customHeight="false" outlineLevel="0" collapsed="false">
      <c r="A22" s="13" t="s">
        <v>132</v>
      </c>
      <c r="B22" s="26" t="n">
        <f aca="false">IF(B21=0,0,B15/B21)</f>
        <v>5.90385839940479</v>
      </c>
      <c r="C22" s="26" t="n">
        <f aca="false">IF(C21=0,0,C15/C21)</f>
        <v>13.0751426386305</v>
      </c>
      <c r="D22" s="32" t="s">
        <v>133</v>
      </c>
    </row>
    <row r="23" customFormat="false" ht="15" hidden="false" customHeight="false" outlineLevel="0" collapsed="false">
      <c r="A23" s="13" t="s">
        <v>134</v>
      </c>
      <c r="B23" s="7" t="str">
        <f aca="false">IF(B22&lt;=Payback!$B$47,"Yes","No")</f>
        <v>Yes</v>
      </c>
      <c r="C23" s="7" t="str">
        <f aca="false">IF(C22&lt;=Payback!$B$47,"Yes","No")</f>
        <v>Yes</v>
      </c>
    </row>
    <row r="25" customFormat="false" ht="15" hidden="false" customHeight="false" outlineLevel="0" collapsed="false">
      <c r="A25" s="6" t="s">
        <v>135</v>
      </c>
    </row>
    <row r="26" customFormat="false" ht="15" hidden="false" customHeight="false" outlineLevel="0" collapsed="false">
      <c r="A26" s="13" t="s">
        <v>136</v>
      </c>
      <c r="B26" s="11" t="n">
        <f aca="false">1-B18</f>
        <v>0.463998</v>
      </c>
      <c r="C26" s="11" t="n">
        <f aca="false">1-C18</f>
        <v>0.25223</v>
      </c>
      <c r="D26" s="32" t="s">
        <v>137</v>
      </c>
    </row>
    <row r="27" customFormat="false" ht="15" hidden="false" customHeight="false" outlineLevel="0" collapsed="false">
      <c r="A27" s="13" t="s">
        <v>138</v>
      </c>
      <c r="B27" s="11" t="n">
        <f aca="false">1-INDEX(Segment_Fit!$C$8:$E$8,1,B5)</f>
        <v>0.152475</v>
      </c>
      <c r="C27" s="11" t="n">
        <f aca="false">1-INDEX(Segment_Fit!$C$8:$E$8,1,C5)</f>
        <v>0.00641999999999998</v>
      </c>
      <c r="D27" s="32" t="s">
        <v>139</v>
      </c>
    </row>
    <row r="28" customFormat="false" ht="15" hidden="false" customHeight="false" outlineLevel="0" collapsed="false">
      <c r="A28" s="13" t="s">
        <v>140</v>
      </c>
      <c r="B28" s="11" t="n">
        <f aca="false">SUMPRODUCT(1-B6:B8,Inputs!$F$15:$F$17)</f>
        <v>0.502</v>
      </c>
      <c r="C28" s="11" t="n">
        <f aca="false">SUMPRODUCT(1-C6:C8,Inputs!$F$15:$F$17)</f>
        <v>0.179</v>
      </c>
      <c r="D28" s="32" t="s">
        <v>141</v>
      </c>
    </row>
    <row r="29" customFormat="false" ht="15" hidden="false" customHeight="false" outlineLevel="0" collapsed="false">
      <c r="A29" s="13" t="s">
        <v>142</v>
      </c>
      <c r="B29" s="25" t="n">
        <f aca="false">B14-C14</f>
        <v>0.604482363387777</v>
      </c>
      <c r="C29" s="25" t="n">
        <f aca="false">C14-B14</f>
        <v>-0.604482363387777</v>
      </c>
    </row>
    <row r="30" customFormat="false" ht="45" hidden="false" customHeight="true" outlineLevel="0" collapsed="false">
      <c r="A30" s="13" t="s">
        <v>143</v>
      </c>
      <c r="B30" s="29" t="s">
        <v>144</v>
      </c>
      <c r="C30" s="29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7" t="s">
        <v>147</v>
      </c>
    </row>
    <row r="4" customFormat="false" ht="15" hidden="false" customHeight="false" outlineLevel="0" collapsed="false">
      <c r="A4" s="12" t="s">
        <v>148</v>
      </c>
      <c r="B4" s="12" t="s">
        <v>149</v>
      </c>
      <c r="C4" s="12" t="s">
        <v>150</v>
      </c>
      <c r="D4" s="12" t="s">
        <v>151</v>
      </c>
    </row>
    <row r="5" customFormat="false" ht="15" hidden="false" customHeight="false" outlineLevel="0" collapsed="false">
      <c r="A5" s="13" t="s">
        <v>152</v>
      </c>
      <c r="B5" s="33" t="n">
        <f aca="false">Inputs!D46</f>
        <v>0.0231183526011561</v>
      </c>
      <c r="C5" s="33" t="n">
        <f aca="false">Inputs!D46</f>
        <v>0.0231183526011561</v>
      </c>
      <c r="D5" s="32" t="s">
        <v>153</v>
      </c>
    </row>
    <row r="6" customFormat="false" ht="15" hidden="false" customHeight="false" outlineLevel="0" collapsed="false">
      <c r="A6" s="13" t="s">
        <v>154</v>
      </c>
      <c r="B6" s="30" t="n">
        <f aca="false">Inputs!B49+Inputs!B50</f>
        <v>5.4</v>
      </c>
      <c r="C6" s="30" t="n">
        <f aca="false">Inputs!B49+Inputs!B50</f>
        <v>5.4</v>
      </c>
      <c r="D6" s="32" t="s">
        <v>155</v>
      </c>
    </row>
    <row r="7" customFormat="false" ht="15" hidden="false" customHeight="false" outlineLevel="0" collapsed="false">
      <c r="A7" s="13" t="s">
        <v>156</v>
      </c>
      <c r="B7" s="34" t="n">
        <f aca="false">B5*B6*1000000</f>
        <v>124839.104046243</v>
      </c>
      <c r="C7" s="34" t="n">
        <f aca="false">C5*C6*1000000</f>
        <v>124839.104046243</v>
      </c>
    </row>
    <row r="8" customFormat="false" ht="15" hidden="false" customHeight="false" outlineLevel="0" collapsed="false">
      <c r="A8" s="13" t="s">
        <v>157</v>
      </c>
      <c r="B8" s="35" t="n">
        <f aca="false">Inputs!B51</f>
        <v>0.8</v>
      </c>
      <c r="C8" s="35" t="n">
        <f aca="false">Inputs!B51</f>
        <v>0.8</v>
      </c>
      <c r="D8" s="32" t="s">
        <v>158</v>
      </c>
    </row>
    <row r="9" customFormat="false" ht="15" hidden="false" customHeight="false" outlineLevel="0" collapsed="false">
      <c r="A9" s="13" t="s">
        <v>159</v>
      </c>
      <c r="B9" s="11" t="n">
        <f aca="false">SUMPRODUCT(Scenarios!B6:B8,Inputs!F15:F17)</f>
        <v>0.498</v>
      </c>
      <c r="C9" s="11" t="n">
        <f aca="false">SUMPRODUCT(Scenarios!C6:C8,Inputs!F15:F17)</f>
        <v>0.821</v>
      </c>
    </row>
    <row r="10" customFormat="false" ht="15" hidden="false" customHeight="false" outlineLevel="0" collapsed="false">
      <c r="A10" s="13" t="s">
        <v>160</v>
      </c>
      <c r="B10" s="11" t="n">
        <f aca="false">IF(Scenarios!B18=0,0,Scenarios!B19/Scenarios!B18)</f>
        <v>0.869429545039011</v>
      </c>
      <c r="C10" s="11" t="n">
        <f aca="false">IF(Scenarios!C18=0,0,Scenarios!C19/Scenarios!C18)</f>
        <v>0.993449242414111</v>
      </c>
      <c r="D10" s="32" t="s">
        <v>161</v>
      </c>
    </row>
    <row r="11" customFormat="false" ht="15" hidden="false" customHeight="false" outlineLevel="0" collapsed="false">
      <c r="A11" s="13" t="s">
        <v>162</v>
      </c>
      <c r="B11" s="35" t="n">
        <f aca="false">Inputs!B52</f>
        <v>0.6</v>
      </c>
      <c r="C11" s="35" t="n">
        <f aca="false">Inputs!B52</f>
        <v>0.6</v>
      </c>
    </row>
    <row r="12" customFormat="false" ht="15" hidden="false" customHeight="false" outlineLevel="0" collapsed="false">
      <c r="A12" s="13" t="s">
        <v>163</v>
      </c>
      <c r="B12" s="34" t="n">
        <f aca="false">B7*B8*B9*B10*B11</f>
        <v>25945.116050944</v>
      </c>
      <c r="C12" s="34" t="n">
        <f aca="false">C7*C8*C9*C10*C11</f>
        <v>48874.3191603952</v>
      </c>
    </row>
    <row r="13" customFormat="false" ht="15" hidden="false" customHeight="false" outlineLevel="0" collapsed="false">
      <c r="A13" s="13" t="s">
        <v>164</v>
      </c>
      <c r="B13" s="25" t="n">
        <f aca="false">IF((Scenarios!B6*Inputs!$F$15+Scenarios!B7*Inputs!$F$16+Scenarios!B8*Inputs!$F$17)=0,0,(Scenarios!B6*Inputs!$F$15*INDEX(Channel_Economics!$C$4:$C$12,(Scenarios!B5-1)*3+1)+Scenarios!B7*Inputs!$F$16*INDEX(Channel_Economics!$C$4:$C$12,(Scenarios!B5-1)*3+2)+Scenarios!B8*Inputs!$F$17*INDEX(Channel_Economics!$C$4:$C$12,(Scenarios!B5-1)*3+3))/(Scenarios!B6*Inputs!$F$15+Scenarios!B7*Inputs!$F$16+Scenarios!B8*Inputs!$F$17))</f>
        <v>1.76768736947791</v>
      </c>
      <c r="C13" s="25" t="n">
        <f aca="false">IF((Scenarios!C6*Inputs!$F$15+Scenarios!C7*Inputs!$F$16+Scenarios!C8*Inputs!$F$17)=0,0,(Scenarios!C6*Inputs!$F$15*INDEX(Channel_Economics!$C$4:$C$12,(Scenarios!C5-1)*3+1)+Scenarios!C7*Inputs!$F$16*INDEX(Channel_Economics!$C$4:$C$12,(Scenarios!C5-1)*3+2)+Scenarios!C8*Inputs!$F$17*INDEX(Channel_Economics!$C$4:$C$12,(Scenarios!C5-1)*3+3))/(Scenarios!C6*Inputs!$F$15+Scenarios!C7*Inputs!$F$16+Scenarios!C8*Inputs!$F$17))</f>
        <v>1.16320500609013</v>
      </c>
    </row>
    <row r="14" customFormat="false" ht="15" hidden="false" customHeight="false" outlineLevel="0" collapsed="false">
      <c r="A14" s="13" t="s">
        <v>165</v>
      </c>
      <c r="B14" s="36" t="n">
        <f aca="false">B12*B13</f>
        <v>45862.8539428923</v>
      </c>
      <c r="C14" s="36" t="n">
        <f aca="false">C12*C13</f>
        <v>56850.8527166187</v>
      </c>
    </row>
    <row r="15" customFormat="false" ht="15" hidden="false" customHeight="false" outlineLevel="0" collapsed="false">
      <c r="A15" s="13" t="s">
        <v>166</v>
      </c>
      <c r="B15" s="36" t="n">
        <f aca="false">B12*Scenarios!B14</f>
        <v>29776.8819913071</v>
      </c>
      <c r="C15" s="36" t="n">
        <f aca="false">C12*Scenarios!C14</f>
        <v>26548.7748371736</v>
      </c>
    </row>
    <row r="16" customFormat="false" ht="15" hidden="false" customHeight="false" outlineLevel="0" collapsed="false">
      <c r="A16" s="13" t="s">
        <v>167</v>
      </c>
      <c r="B16" s="37" t="n">
        <f aca="false">Inputs!B54</f>
        <v>97960.7861271677</v>
      </c>
      <c r="C16" s="37" t="n">
        <f aca="false">Inputs!B54</f>
        <v>97960.7861271677</v>
      </c>
    </row>
    <row r="17" customFormat="false" ht="15" hidden="false" customHeight="false" outlineLevel="0" collapsed="false">
      <c r="A17" s="13" t="s">
        <v>168</v>
      </c>
      <c r="B17" s="36" t="n">
        <f aca="false">B15-B16</f>
        <v>-68183.9041358606</v>
      </c>
      <c r="C17" s="36" t="n">
        <f aca="false">C15-C16</f>
        <v>-71412.011289994</v>
      </c>
    </row>
    <row r="18" customFormat="false" ht="15" hidden="false" customHeight="false" outlineLevel="0" collapsed="false">
      <c r="A18" s="13" t="s">
        <v>169</v>
      </c>
      <c r="B18" s="34" t="n">
        <f aca="false">Inputs!B54/Inputs!B5</f>
        <v>2226.38150289017</v>
      </c>
      <c r="C18" s="34" t="n">
        <f aca="false">Inputs!B54/Inputs!B5</f>
        <v>2226.38150289017</v>
      </c>
    </row>
    <row r="20" customFormat="false" ht="15" hidden="false" customHeight="false" outlineLevel="0" collapsed="false">
      <c r="A20" s="6" t="s">
        <v>170</v>
      </c>
    </row>
    <row r="21" customFormat="false" ht="15" hidden="false" customHeight="false" outlineLevel="0" collapsed="false">
      <c r="A21" s="12" t="s">
        <v>157</v>
      </c>
      <c r="B21" s="12" t="s">
        <v>171</v>
      </c>
      <c r="C21" s="12" t="s">
        <v>172</v>
      </c>
    </row>
    <row r="22" customFormat="false" ht="15" hidden="false" customHeight="false" outlineLevel="0" collapsed="false">
      <c r="A22" s="38" t="n">
        <v>0.5</v>
      </c>
      <c r="B22" s="34" t="n">
        <f aca="false">$B$7*A22*$B$9*$B$10*$B$11</f>
        <v>16215.69753184</v>
      </c>
      <c r="C22" s="34" t="n">
        <f aca="false">$C$7*A22*$C$9*$C$10*$C$11</f>
        <v>30546.449475247</v>
      </c>
    </row>
    <row r="23" customFormat="false" ht="15" hidden="false" customHeight="false" outlineLevel="0" collapsed="false">
      <c r="A23" s="38" t="n">
        <v>0.65</v>
      </c>
      <c r="B23" s="34" t="n">
        <f aca="false">$B$7*A23*$B$9*$B$10*$B$11</f>
        <v>21080.406791392</v>
      </c>
      <c r="C23" s="34" t="n">
        <f aca="false">$C$7*A23*$C$9*$C$10*$C$11</f>
        <v>39710.3843178211</v>
      </c>
    </row>
    <row r="24" customFormat="false" ht="15" hidden="false" customHeight="false" outlineLevel="0" collapsed="false">
      <c r="A24" s="38" t="n">
        <v>0.8</v>
      </c>
      <c r="B24" s="34" t="n">
        <f aca="false">$B$7*A24*$B$9*$B$10*$B$11</f>
        <v>25945.116050944</v>
      </c>
      <c r="C24" s="34" t="n">
        <f aca="false">$C$7*A24*$C$9*$C$10*$C$11</f>
        <v>48874.3191603952</v>
      </c>
    </row>
    <row r="25" customFormat="false" ht="15" hidden="false" customHeight="false" outlineLevel="0" collapsed="false">
      <c r="A25" s="38" t="n">
        <v>1</v>
      </c>
      <c r="B25" s="34" t="n">
        <f aca="false">$B$7*A25*$B$9*$B$10*$B$11</f>
        <v>32431.39506368</v>
      </c>
      <c r="C25" s="34" t="n">
        <f aca="false">$C$7*A25*$C$9*$C$10*$C$11</f>
        <v>61092.898950494</v>
      </c>
    </row>
    <row r="26" customFormat="false" ht="15" hidden="false" customHeight="false" outlineLevel="0" collapsed="false">
      <c r="A26" s="38" t="n">
        <v>1.2</v>
      </c>
      <c r="B26" s="34" t="n">
        <f aca="false">$B$7*A26*$B$9*$B$10*$B$11</f>
        <v>38917.674076416</v>
      </c>
      <c r="C26" s="34" t="n">
        <f aca="false">$C$7*A26*$C$9*$C$10*$C$11</f>
        <v>73311.4787405928</v>
      </c>
    </row>
    <row r="28" customFormat="false" ht="39.75" hidden="false" customHeight="true" outlineLevel="0" collapsed="false">
      <c r="A28" s="29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174</v>
      </c>
    </row>
    <row r="3" customFormat="false" ht="26.85" hidden="false" customHeight="false" outlineLevel="0" collapsed="false">
      <c r="A3" s="12" t="s">
        <v>175</v>
      </c>
      <c r="B3" s="12" t="s">
        <v>176</v>
      </c>
      <c r="C3" s="12" t="s">
        <v>177</v>
      </c>
      <c r="D3" s="12" t="s">
        <v>178</v>
      </c>
      <c r="E3" s="12" t="s">
        <v>179</v>
      </c>
    </row>
    <row r="4" customFormat="false" ht="15" hidden="false" customHeight="false" outlineLevel="0" collapsed="false">
      <c r="A4" s="34" t="n">
        <v>1</v>
      </c>
      <c r="B4" s="19" t="n">
        <v>78</v>
      </c>
      <c r="C4" s="19" t="n">
        <v>2</v>
      </c>
      <c r="D4" s="19" t="n">
        <v>73</v>
      </c>
      <c r="E4" s="34" t="n">
        <f aca="false">B4-D4</f>
        <v>5</v>
      </c>
    </row>
    <row r="5" customFormat="false" ht="15" hidden="false" customHeight="false" outlineLevel="0" collapsed="false">
      <c r="A5" s="34" t="n">
        <v>2</v>
      </c>
      <c r="B5" s="19" t="n">
        <v>80</v>
      </c>
      <c r="C5" s="19" t="n">
        <v>3</v>
      </c>
      <c r="D5" s="19" t="n">
        <v>76</v>
      </c>
      <c r="E5" s="34" t="n">
        <f aca="false">B5-D5</f>
        <v>4</v>
      </c>
    </row>
    <row r="6" customFormat="false" ht="15" hidden="false" customHeight="false" outlineLevel="0" collapsed="false">
      <c r="A6" s="34" t="n">
        <v>3</v>
      </c>
      <c r="B6" s="19" t="n">
        <v>88</v>
      </c>
      <c r="C6" s="19" t="n">
        <v>7</v>
      </c>
      <c r="D6" s="19" t="n">
        <v>85</v>
      </c>
      <c r="E6" s="34" t="n">
        <f aca="false">B6-D6</f>
        <v>3</v>
      </c>
    </row>
    <row r="7" customFormat="false" ht="15" hidden="false" customHeight="false" outlineLevel="0" collapsed="false">
      <c r="A7" s="34" t="n">
        <v>4</v>
      </c>
      <c r="B7" s="19" t="n">
        <v>98</v>
      </c>
      <c r="C7" s="19" t="n">
        <v>11</v>
      </c>
      <c r="D7" s="19" t="n">
        <v>98</v>
      </c>
      <c r="E7" s="34" t="n">
        <f aca="false">B7-D7</f>
        <v>0</v>
      </c>
    </row>
    <row r="8" customFormat="false" ht="15" hidden="false" customHeight="false" outlineLevel="0" collapsed="false">
      <c r="A8" s="34" t="n">
        <v>5</v>
      </c>
      <c r="B8" s="19" t="n">
        <v>118</v>
      </c>
      <c r="C8" s="19" t="n">
        <v>15</v>
      </c>
      <c r="D8" s="19" t="n">
        <v>120</v>
      </c>
      <c r="E8" s="34" t="n">
        <f aca="false">B8-D8</f>
        <v>-2</v>
      </c>
    </row>
    <row r="9" customFormat="false" ht="15" hidden="false" customHeight="false" outlineLevel="0" collapsed="false">
      <c r="A9" s="34" t="n">
        <v>6</v>
      </c>
      <c r="B9" s="19" t="n">
        <v>132</v>
      </c>
      <c r="C9" s="19" t="n">
        <v>18</v>
      </c>
      <c r="D9" s="19" t="n">
        <v>136</v>
      </c>
      <c r="E9" s="34" t="n">
        <f aca="false">B9-D9</f>
        <v>-4</v>
      </c>
    </row>
    <row r="10" customFormat="false" ht="15" hidden="false" customHeight="false" outlineLevel="0" collapsed="false">
      <c r="A10" s="34" t="n">
        <v>7</v>
      </c>
      <c r="B10" s="19" t="n">
        <v>138</v>
      </c>
      <c r="C10" s="19" t="n">
        <v>19</v>
      </c>
      <c r="D10" s="19" t="n">
        <v>134</v>
      </c>
      <c r="E10" s="34" t="n">
        <f aca="false">B10-D10</f>
        <v>4</v>
      </c>
    </row>
    <row r="11" customFormat="false" ht="15" hidden="false" customHeight="false" outlineLevel="0" collapsed="false">
      <c r="A11" s="34" t="n">
        <v>8</v>
      </c>
      <c r="B11" s="19" t="n">
        <v>128</v>
      </c>
      <c r="C11" s="19" t="n">
        <v>19</v>
      </c>
      <c r="D11" s="19" t="n">
        <v>119</v>
      </c>
      <c r="E11" s="34" t="n">
        <f aca="false">B11-D11</f>
        <v>9</v>
      </c>
    </row>
    <row r="12" customFormat="false" ht="15" hidden="false" customHeight="false" outlineLevel="0" collapsed="false">
      <c r="A12" s="34" t="n">
        <v>9</v>
      </c>
      <c r="B12" s="19" t="n">
        <v>104</v>
      </c>
      <c r="C12" s="19" t="n">
        <v>15</v>
      </c>
      <c r="D12" s="19" t="n">
        <v>100</v>
      </c>
      <c r="E12" s="34" t="n">
        <f aca="false">B12-D12</f>
        <v>4</v>
      </c>
    </row>
    <row r="13" customFormat="false" ht="15" hidden="false" customHeight="false" outlineLevel="0" collapsed="false">
      <c r="A13" s="34" t="n">
        <v>10</v>
      </c>
      <c r="B13" s="19" t="n">
        <v>90</v>
      </c>
      <c r="C13" s="19" t="n">
        <v>11</v>
      </c>
      <c r="D13" s="19" t="n">
        <v>90</v>
      </c>
      <c r="E13" s="34" t="n">
        <f aca="false">B13-D13</f>
        <v>0</v>
      </c>
    </row>
    <row r="14" customFormat="false" ht="15" hidden="false" customHeight="false" outlineLevel="0" collapsed="false">
      <c r="A14" s="34" t="n">
        <v>11</v>
      </c>
      <c r="B14" s="19" t="n">
        <v>82</v>
      </c>
      <c r="C14" s="19" t="n">
        <v>6</v>
      </c>
      <c r="D14" s="19" t="n">
        <v>83</v>
      </c>
      <c r="E14" s="34" t="n">
        <f aca="false">B14-D14</f>
        <v>-1</v>
      </c>
    </row>
    <row r="15" customFormat="false" ht="15" hidden="false" customHeight="false" outlineLevel="0" collapsed="false">
      <c r="A15" s="34" t="n">
        <v>12</v>
      </c>
      <c r="B15" s="19" t="n">
        <v>84</v>
      </c>
      <c r="C15" s="19" t="n">
        <v>3</v>
      </c>
      <c r="D15" s="19" t="n">
        <v>86</v>
      </c>
      <c r="E15" s="34" t="n">
        <f aca="false">B15-D15</f>
        <v>-2</v>
      </c>
    </row>
    <row r="17" customFormat="false" ht="15" hidden="false" customHeight="false" outlineLevel="0" collapsed="false">
      <c r="A17" s="13" t="s">
        <v>180</v>
      </c>
      <c r="B17" s="39" t="n">
        <f aca="false">CORREL(B4:B15,D4:D15)</f>
        <v>0.985428962617578</v>
      </c>
    </row>
    <row r="18" customFormat="false" ht="15" hidden="false" customHeight="false" outlineLevel="0" collapsed="false">
      <c r="A18" s="13" t="s">
        <v>181</v>
      </c>
      <c r="B18" s="39" t="n">
        <f aca="false">CORREL(B4:B15,C4:C15)</f>
        <v>0.945230623661421</v>
      </c>
    </row>
    <row r="20" customFormat="false" ht="75" hidden="false" customHeight="true" outlineLevel="0" collapsed="false">
      <c r="A20" s="40" t="s">
        <v>182</v>
      </c>
      <c r="B20" s="40"/>
      <c r="C20" s="40"/>
      <c r="D20" s="40"/>
      <c r="E20" s="40"/>
    </row>
  </sheetData>
  <mergeCells count="1"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5" t="s">
        <v>183</v>
      </c>
    </row>
    <row r="3" customFormat="false" ht="15" hidden="false" customHeight="false" outlineLevel="0" collapsed="false">
      <c r="A3" s="12" t="s">
        <v>184</v>
      </c>
      <c r="B3" s="12" t="s">
        <v>185</v>
      </c>
      <c r="C3" s="12" t="s">
        <v>186</v>
      </c>
    </row>
    <row r="4" customFormat="false" ht="60" hidden="false" customHeight="true" outlineLevel="0" collapsed="false">
      <c r="A4" s="41" t="s">
        <v>187</v>
      </c>
      <c r="B4" s="42" t="s">
        <v>188</v>
      </c>
      <c r="C4" s="42" t="s">
        <v>189</v>
      </c>
    </row>
    <row r="5" customFormat="false" ht="60" hidden="false" customHeight="true" outlineLevel="0" collapsed="false">
      <c r="A5" s="41" t="s">
        <v>187</v>
      </c>
      <c r="B5" s="42" t="s">
        <v>190</v>
      </c>
      <c r="C5" s="42" t="s">
        <v>191</v>
      </c>
    </row>
    <row r="6" customFormat="false" ht="60" hidden="false" customHeight="true" outlineLevel="0" collapsed="false">
      <c r="A6" s="41" t="s">
        <v>192</v>
      </c>
      <c r="B6" s="42" t="s">
        <v>193</v>
      </c>
      <c r="C6" s="42" t="s">
        <v>194</v>
      </c>
    </row>
    <row r="7" customFormat="false" ht="60" hidden="false" customHeight="true" outlineLevel="0" collapsed="false">
      <c r="A7" s="41" t="s">
        <v>195</v>
      </c>
      <c r="B7" s="42" t="s">
        <v>196</v>
      </c>
      <c r="C7" s="42" t="s">
        <v>197</v>
      </c>
    </row>
    <row r="8" customFormat="false" ht="60" hidden="false" customHeight="true" outlineLevel="0" collapsed="false">
      <c r="A8" s="41" t="s">
        <v>198</v>
      </c>
      <c r="B8" s="42" t="s">
        <v>199</v>
      </c>
      <c r="C8" s="42" t="s">
        <v>200</v>
      </c>
    </row>
    <row r="9" customFormat="false" ht="60" hidden="false" customHeight="true" outlineLevel="0" collapsed="false">
      <c r="A9" s="41" t="s">
        <v>201</v>
      </c>
      <c r="B9" s="42" t="s">
        <v>202</v>
      </c>
      <c r="C9" s="42" t="s">
        <v>203</v>
      </c>
    </row>
    <row r="10" customFormat="false" ht="60" hidden="false" customHeight="true" outlineLevel="0" collapsed="false">
      <c r="A10" s="41" t="s">
        <v>204</v>
      </c>
      <c r="B10" s="42" t="s">
        <v>205</v>
      </c>
      <c r="C10" s="4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2026-09-10T13:44:50Z</dcterms:created>
  <dc:creator>openpyxl</dc:creator>
  <dc:description/>
  <dc:language>en-US</dc:language>
  <cp:lastModifiedBy/>
  <dcterms:modified xsi:type="dcterms:W3CDTF">2026-09-10T13:44:50Z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